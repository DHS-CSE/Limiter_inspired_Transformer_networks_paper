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ukhwan\Deep learning for PDE\PINNsFORMER_Dukhwan\AppleB\AppleB\Revision_Experiments\Revision_Experiments\runs\results_single(burgers)\20260801_130421_BurgersSLFormerFixedSharpAnalysis_Single\"/>
    </mc:Choice>
  </mc:AlternateContent>
  <xr:revisionPtr revIDLastSave="0" documentId="13_ncr:1_{66735B03-23C1-47C0-9D70-BD3179E0ECE0}" xr6:coauthVersionLast="47" xr6:coauthVersionMax="47" xr10:uidLastSave="{00000000-0000-0000-0000-000000000000}"/>
  <bookViews>
    <workbookView xWindow="780" yWindow="780" windowWidth="16200" windowHeight="9270" xr2:uid="{00000000-000D-0000-FFFF-FFFF00000000}"/>
  </bookViews>
  <sheets>
    <sheet name="summary" sheetId="1" r:id="rId1"/>
    <sheet name="history" sheetId="2" r:id="rId2"/>
    <sheet name="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</calcChain>
</file>

<file path=xl/sharedStrings.xml><?xml version="1.0" encoding="utf-8"?>
<sst xmlns="http://schemas.openxmlformats.org/spreadsheetml/2006/main" count="633" uniqueCount="230">
  <si>
    <t>seed</t>
  </si>
  <si>
    <t>model_name</t>
  </si>
  <si>
    <t>scheduler</t>
  </si>
  <si>
    <t>optimizer</t>
  </si>
  <si>
    <t>lr_init</t>
  </si>
  <si>
    <t>adam_lr</t>
  </si>
  <si>
    <t>lbfgs_lr</t>
  </si>
  <si>
    <t>best_loss</t>
  </si>
  <si>
    <t>best_epoch</t>
  </si>
  <si>
    <t>final_epoch</t>
  </si>
  <si>
    <t>stop_reason</t>
  </si>
  <si>
    <t>relative_l2_error_of_best_loss_model</t>
  </si>
  <si>
    <t>total_time_sec</t>
  </si>
  <si>
    <t>time_per_epoch_sec</t>
  </si>
  <si>
    <t>h_x</t>
  </si>
  <si>
    <t>h_t</t>
  </si>
  <si>
    <t>sharp_const</t>
  </si>
  <si>
    <t>lambda_pde</t>
  </si>
  <si>
    <t>lambda_bc</t>
  </si>
  <si>
    <t>lambda_ini</t>
  </si>
  <si>
    <t>best_loss_checkpoint</t>
  </si>
  <si>
    <t>last_checkpoint</t>
  </si>
  <si>
    <t>interrupt_checkpoint</t>
  </si>
  <si>
    <t>prediction_best_loss</t>
  </si>
  <si>
    <t>run_dir</t>
  </si>
  <si>
    <t>BurgersSLFormerFixedSharpAnalysis_Single</t>
  </si>
  <si>
    <t>fixed</t>
  </si>
  <si>
    <t>adamW + lbfgs</t>
  </si>
  <si>
    <t>max_epochs</t>
  </si>
  <si>
    <t>runs\results_single(burgers)\20260801_130421_BurgersSLFormerFixedSharpAnalysis_Single\checkpoints\seed1\lbfgs_best_loss.pth</t>
  </si>
  <si>
    <t>runs\results_single(burgers)\20260801_130421_BurgersSLFormerFixedSharpAnalysis_Single\checkpoints\seed1\last.pth</t>
  </si>
  <si>
    <t>runs\results_single(burgers)\20260801_130421_BurgersSLFormerFixedSharpAnalysis_Single\analysis\seed1\prediction_seed1.pt</t>
  </si>
  <si>
    <t>runs\results_single(burgers)\20260801_130421_BurgersSLFormerFixedSharpAnalysis_Single</t>
  </si>
  <si>
    <t>runs\results_single(burgers)\20260801_130421_BurgersSLFormerFixedSharpAnalysis_Single\checkpoints\seed2\lbfgs_best_loss.pth</t>
  </si>
  <si>
    <t>runs\results_single(burgers)\20260801_130421_BurgersSLFormerFixedSharpAnalysis_Single\checkpoints\seed2\last.pth</t>
  </si>
  <si>
    <t>runs\results_single(burgers)\20260801_130421_BurgersSLFormerFixedSharpAnalysis_Single\analysis\seed2\prediction_seed2.pt</t>
  </si>
  <si>
    <t>runs\results_single(burgers)\20260801_130421_BurgersSLFormerFixedSharpAnalysis_Single\checkpoints\seed3\lbfgs_best_loss.pth</t>
  </si>
  <si>
    <t>runs\results_single(burgers)\20260801_130421_BurgersSLFormerFixedSharpAnalysis_Single\checkpoints\seed3\last.pth</t>
  </si>
  <si>
    <t>runs\results_single(burgers)\20260801_130421_BurgersSLFormerFixedSharpAnalysis_Single\analysis\seed3\prediction_seed3.pt</t>
  </si>
  <si>
    <t>runs\results_single(burgers)\20260801_130421_BurgersSLFormerFixedSharpAnalysis_Single\checkpoints\seed4\lbfgs_best_loss.pth</t>
  </si>
  <si>
    <t>runs\results_single(burgers)\20260801_130421_BurgersSLFormerFixedSharpAnalysis_Single\checkpoints\seed4\last.pth</t>
  </si>
  <si>
    <t>runs\results_single(burgers)\20260801_130421_BurgersSLFormerFixedSharpAnalysis_Single\analysis\seed4\prediction_seed4.pt</t>
  </si>
  <si>
    <t>runs\results_single(burgers)\20260801_130421_BurgersSLFormerFixedSharpAnalysis_Single\checkpoints\seed5\lbfgs_best_loss.pth</t>
  </si>
  <si>
    <t>runs\results_single(burgers)\20260801_130421_BurgersSLFormerFixedSharpAnalysis_Single\checkpoints\seed5\last.pth</t>
  </si>
  <si>
    <t>runs\results_single(burgers)\20260801_130421_BurgersSLFormerFixedSharpAnalysis_Single\analysis\seed5\prediction_seed5.pt</t>
  </si>
  <si>
    <t>epoch</t>
  </si>
  <si>
    <t>monitor</t>
  </si>
  <si>
    <t>total</t>
  </si>
  <si>
    <t>pde</t>
  </si>
  <si>
    <t>bc</t>
  </si>
  <si>
    <t>ini</t>
  </si>
  <si>
    <t>relative_l2_error</t>
  </si>
  <si>
    <t>lr</t>
  </si>
  <si>
    <t>elapsed_sec</t>
  </si>
  <si>
    <t>adamW</t>
  </si>
  <si>
    <t>total_loss</t>
  </si>
  <si>
    <t>key</t>
  </si>
  <si>
    <t>value</t>
  </si>
  <si>
    <t>layers</t>
  </si>
  <si>
    <t>[2, 50, 50, 50, 50, 50, 1]</t>
  </si>
  <si>
    <t>fourier_scale</t>
  </si>
  <si>
    <t>1.0</t>
  </si>
  <si>
    <t>input_dim</t>
  </si>
  <si>
    <t>2</t>
  </si>
  <si>
    <t>embed_dim</t>
  </si>
  <si>
    <t>96</t>
  </si>
  <si>
    <t>num_heads</t>
  </si>
  <si>
    <t>1</t>
  </si>
  <si>
    <t>depth</t>
  </si>
  <si>
    <t>activation</t>
  </si>
  <si>
    <t>Tanh</t>
  </si>
  <si>
    <t>burgers_1d</t>
  </si>
  <si>
    <t>viscosity</t>
  </si>
  <si>
    <t>0.001</t>
  </si>
  <si>
    <t>gravity</t>
  </si>
  <si>
    <t>dam_radius</t>
  </si>
  <si>
    <t>0.5</t>
  </si>
  <si>
    <t>h_inside</t>
  </si>
  <si>
    <t>2.0</t>
  </si>
  <si>
    <t>h_outside</t>
  </si>
  <si>
    <t>lambda_positive</t>
  </si>
  <si>
    <t>h_floor</t>
  </si>
  <si>
    <t>0.0001</t>
  </si>
  <si>
    <t>reference_nx</t>
  </si>
  <si>
    <t>128</t>
  </si>
  <si>
    <t>reference_ny</t>
  </si>
  <si>
    <t>reference_num_times</t>
  </si>
  <si>
    <t>101</t>
  </si>
  <si>
    <t>shallow_boundary</t>
  </si>
  <si>
    <t>wall</t>
  </si>
  <si>
    <t>0.015625</t>
  </si>
  <si>
    <t>h_y</t>
  </si>
  <si>
    <t>0.0625</t>
  </si>
  <si>
    <t>reference_path</t>
  </si>
  <si>
    <t>n_domain</t>
  </si>
  <si>
    <t>25600</t>
  </si>
  <si>
    <t>n_bnd</t>
  </si>
  <si>
    <t>256</t>
  </si>
  <si>
    <t>n_initial</t>
  </si>
  <si>
    <t>512</t>
  </si>
  <si>
    <t>batch_size</t>
  </si>
  <si>
    <t>eval_chunk_size</t>
  </si>
  <si>
    <t>65536</t>
  </si>
  <si>
    <t>point_type</t>
  </si>
  <si>
    <t>uniform</t>
  </si>
  <si>
    <t>point_seed</t>
  </si>
  <si>
    <t>0</t>
  </si>
  <si>
    <t>knn_k</t>
  </si>
  <si>
    <t>12</t>
  </si>
  <si>
    <t>ridge</t>
  </si>
  <si>
    <t>1e-05</t>
  </si>
  <si>
    <t>time_distance_scale</t>
  </si>
  <si>
    <t>no_sharp_const</t>
  </si>
  <si>
    <t>False</t>
  </si>
  <si>
    <t>5.0</t>
  </si>
  <si>
    <t>lambda_bc_grad</t>
  </si>
  <si>
    <t>10.0</t>
  </si>
  <si>
    <t>rho</t>
  </si>
  <si>
    <t>use_layerwise_lr</t>
  </si>
  <si>
    <t>weight_decay</t>
  </si>
  <si>
    <t>grad_clip</t>
  </si>
  <si>
    <t>0.0</t>
  </si>
  <si>
    <t>soap_betas</t>
  </si>
  <si>
    <t>(0.95, 0.95, 0.99)</t>
  </si>
  <si>
    <t>soap_precondition_frequency</t>
  </si>
  <si>
    <t>10</t>
  </si>
  <si>
    <t>scheduler_factor</t>
  </si>
  <si>
    <t>scheduler_patience</t>
  </si>
  <si>
    <t>1000</t>
  </si>
  <si>
    <t>scheduler_gamma</t>
  </si>
  <si>
    <t>0.9995</t>
  </si>
  <si>
    <t>min_lr</t>
  </si>
  <si>
    <t>1e-06</t>
  </si>
  <si>
    <t>decoder_step_size</t>
  </si>
  <si>
    <t>500</t>
  </si>
  <si>
    <t>decoder_gamma</t>
  </si>
  <si>
    <t>0.9</t>
  </si>
  <si>
    <t>target_loss</t>
  </si>
  <si>
    <t>-1.0</t>
  </si>
  <si>
    <t>early_stop_patience</t>
  </si>
  <si>
    <t>min_delta</t>
  </si>
  <si>
    <t>min_epochs</t>
  </si>
  <si>
    <t>num_epochs</t>
  </si>
  <si>
    <t>15000</t>
  </si>
  <si>
    <t>lbfgs_epochs</t>
  </si>
  <si>
    <t>200</t>
  </si>
  <si>
    <t>scheduler_stop</t>
  </si>
  <si>
    <t>5000</t>
  </si>
  <si>
    <t>seeds</t>
  </si>
  <si>
    <t>[1, 2, 3, 4, 5]</t>
  </si>
  <si>
    <t>device</t>
  </si>
  <si>
    <t>cuda</t>
  </si>
  <si>
    <t>deterministic</t>
  </si>
  <si>
    <t>log_every</t>
  </si>
  <si>
    <t>record_every</t>
  </si>
  <si>
    <t>analysis_every</t>
  </si>
  <si>
    <t>write_jsonl_live</t>
  </si>
  <si>
    <t>eval_every</t>
  </si>
  <si>
    <t>save_eval_plot_every</t>
  </si>
  <si>
    <t>save_dir</t>
  </si>
  <si>
    <t>runs/results_single(burgers)</t>
  </si>
  <si>
    <t>save_plots</t>
  </si>
  <si>
    <t>True</t>
  </si>
  <si>
    <t>num_frequencies</t>
  </si>
  <si>
    <t>period</t>
  </si>
  <si>
    <t>hard_periodic</t>
  </si>
  <si>
    <t>use_causal</t>
  </si>
  <si>
    <t>causal_epsilon</t>
  </si>
  <si>
    <t>causal_epsilon_schedule</t>
  </si>
  <si>
    <t>[0.01, 0.1, 1.0, 10.0, 100.0]</t>
  </si>
  <si>
    <t>causal_stage_epochs</t>
  </si>
  <si>
    <t>20000</t>
  </si>
  <si>
    <t>causal_delta</t>
  </si>
  <si>
    <t>0.99</t>
  </si>
  <si>
    <t>causal_num_time_bins</t>
  </si>
  <si>
    <t>None</t>
  </si>
  <si>
    <t>causal_include_initial</t>
  </si>
  <si>
    <t>causal_normalization</t>
  </si>
  <si>
    <t>paper</t>
  </si>
  <si>
    <t>use_rba</t>
  </si>
  <si>
    <t>rba_gamma</t>
  </si>
  <si>
    <t>0.999</t>
  </si>
  <si>
    <t>rba_eta</t>
  </si>
  <si>
    <t>0.01</t>
  </si>
  <si>
    <t>rba_offset</t>
  </si>
  <si>
    <t>use_brdr</t>
  </si>
  <si>
    <t>brdr_beta_residual</t>
  </si>
  <si>
    <t>brdr_beta_weight</t>
  </si>
  <si>
    <t>brdr_beta_scale</t>
  </si>
  <si>
    <t>brdr_eps</t>
  </si>
  <si>
    <t>1e-14</t>
  </si>
  <si>
    <t>use_weight_norm</t>
  </si>
  <si>
    <t>checkpoint_dir</t>
  </si>
  <si>
    <t>checkpoints</t>
  </si>
  <si>
    <t>plot_dir</t>
  </si>
  <si>
    <t>plots</t>
  </si>
  <si>
    <t>analysis_dir</t>
  </si>
  <si>
    <t>analysis</t>
  </si>
  <si>
    <t>log_dir</t>
  </si>
  <si>
    <t>logs</t>
  </si>
  <si>
    <t>best_ckpt_name</t>
  </si>
  <si>
    <t>best_loss.pth</t>
  </si>
  <si>
    <t>last_ckpt_name</t>
  </si>
  <si>
    <t>last.pth</t>
  </si>
  <si>
    <t>interrupt_ckpt_name</t>
  </si>
  <si>
    <t>interrupt.pth</t>
  </si>
  <si>
    <t>history_name</t>
  </si>
  <si>
    <t>history</t>
  </si>
  <si>
    <t>config_name</t>
  </si>
  <si>
    <t>config</t>
  </si>
  <si>
    <t>manifest_name</t>
  </si>
  <si>
    <t>manifest</t>
  </si>
  <si>
    <t>metrics_name</t>
  </si>
  <si>
    <t>metrics</t>
  </si>
  <si>
    <t>excel_name</t>
  </si>
  <si>
    <t>results</t>
  </si>
  <si>
    <t>prediction_name</t>
  </si>
  <si>
    <t>prediction</t>
  </si>
  <si>
    <t>eval_n</t>
  </si>
  <si>
    <t>513</t>
  </si>
  <si>
    <t>eval_h_x</t>
  </si>
  <si>
    <t>eval_h_y</t>
  </si>
  <si>
    <t>eval_h_t</t>
  </si>
  <si>
    <t>eval_h_x_learning</t>
  </si>
  <si>
    <t>0.03125</t>
  </si>
  <si>
    <t>eval_h_y_learning</t>
  </si>
  <si>
    <t>eval_h_t_learning</t>
  </si>
  <si>
    <t>final_mlp_type</t>
  </si>
  <si>
    <t>geglu</t>
  </si>
  <si>
    <t>final_hidden_multiplier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</si>
</sst>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>
      <selection activeCell="L9" sqref="L9"/>
    </sheetView>
  </sheetViews>
  <sheetFormatPr defaultRowHeight="16.5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t="s">
        <v>26</v>
      </c>
      <c r="D2" t="s">
        <v>27</v>
      </c>
      <c r="E2">
        <v>1.0000000000000001E-5</v>
      </c>
      <c r="F2">
        <v>1.0000000000000001E-5</v>
      </c>
      <c r="G2">
        <v>0.6</v>
      </c>
      <c r="H2">
        <v>4.3733615428209298E-2</v>
      </c>
      <c r="I2">
        <v>15200</v>
      </c>
      <c r="J2">
        <v>15200</v>
      </c>
      <c r="K2" t="s">
        <v>28</v>
      </c>
      <c r="L2">
        <v>9.9713578820228577E-2</v>
      </c>
      <c r="M2">
        <v>4303.2652983665466</v>
      </c>
      <c r="N2">
        <v>0.28310955910306229</v>
      </c>
      <c r="O2">
        <v>1.5625E-2</v>
      </c>
      <c r="P2">
        <v>1.5625E-2</v>
      </c>
      <c r="Q2">
        <v>1</v>
      </c>
      <c r="R2">
        <v>1</v>
      </c>
      <c r="S2">
        <v>5</v>
      </c>
      <c r="T2">
        <v>5</v>
      </c>
      <c r="U2" t="s">
        <v>29</v>
      </c>
      <c r="V2" t="s">
        <v>30</v>
      </c>
      <c r="X2" t="s">
        <v>31</v>
      </c>
      <c r="Y2" t="s">
        <v>32</v>
      </c>
    </row>
    <row r="3" spans="1:25" x14ac:dyDescent="0.3">
      <c r="A3">
        <v>2</v>
      </c>
      <c r="B3" t="s">
        <v>25</v>
      </c>
      <c r="C3" t="s">
        <v>26</v>
      </c>
      <c r="D3" t="s">
        <v>27</v>
      </c>
      <c r="E3">
        <v>1.0000000000000001E-5</v>
      </c>
      <c r="F3">
        <v>1.0000000000000001E-5</v>
      </c>
      <c r="G3">
        <v>0.6</v>
      </c>
      <c r="H3">
        <v>4.0020935237407677E-2</v>
      </c>
      <c r="I3">
        <v>15200</v>
      </c>
      <c r="J3">
        <v>15200</v>
      </c>
      <c r="K3" t="s">
        <v>28</v>
      </c>
      <c r="L3">
        <v>0.1338332146406174</v>
      </c>
      <c r="M3">
        <v>5091.1696021556854</v>
      </c>
      <c r="N3">
        <v>0.33494536856287399</v>
      </c>
      <c r="O3">
        <v>1.5625E-2</v>
      </c>
      <c r="P3">
        <v>1.5625E-2</v>
      </c>
      <c r="Q3">
        <v>1</v>
      </c>
      <c r="R3">
        <v>1</v>
      </c>
      <c r="S3">
        <v>5</v>
      </c>
      <c r="T3">
        <v>5</v>
      </c>
      <c r="U3" t="s">
        <v>33</v>
      </c>
      <c r="V3" t="s">
        <v>34</v>
      </c>
      <c r="X3" t="s">
        <v>35</v>
      </c>
      <c r="Y3" t="s">
        <v>32</v>
      </c>
    </row>
    <row r="4" spans="1:25" x14ac:dyDescent="0.3">
      <c r="A4">
        <v>3</v>
      </c>
      <c r="B4" t="s">
        <v>25</v>
      </c>
      <c r="C4" t="s">
        <v>26</v>
      </c>
      <c r="D4" t="s">
        <v>27</v>
      </c>
      <c r="E4">
        <v>1.0000000000000001E-5</v>
      </c>
      <c r="F4">
        <v>1.0000000000000001E-5</v>
      </c>
      <c r="G4">
        <v>0.6</v>
      </c>
      <c r="H4">
        <v>4.752180352807045E-2</v>
      </c>
      <c r="I4">
        <v>15200</v>
      </c>
      <c r="J4">
        <v>15200</v>
      </c>
      <c r="K4" t="s">
        <v>28</v>
      </c>
      <c r="L4">
        <v>8.2902915775775909E-2</v>
      </c>
      <c r="M4">
        <v>6353.8875315189362</v>
      </c>
      <c r="N4">
        <v>0.41801891654729839</v>
      </c>
      <c r="O4">
        <v>1.5625E-2</v>
      </c>
      <c r="P4">
        <v>1.5625E-2</v>
      </c>
      <c r="Q4">
        <v>1</v>
      </c>
      <c r="R4">
        <v>1</v>
      </c>
      <c r="S4">
        <v>5</v>
      </c>
      <c r="T4">
        <v>5</v>
      </c>
      <c r="U4" t="s">
        <v>36</v>
      </c>
      <c r="V4" t="s">
        <v>37</v>
      </c>
      <c r="X4" t="s">
        <v>38</v>
      </c>
      <c r="Y4" t="s">
        <v>32</v>
      </c>
    </row>
    <row r="5" spans="1:25" x14ac:dyDescent="0.3">
      <c r="A5">
        <v>4</v>
      </c>
      <c r="B5" t="s">
        <v>25</v>
      </c>
      <c r="C5" t="s">
        <v>26</v>
      </c>
      <c r="D5" t="s">
        <v>27</v>
      </c>
      <c r="E5">
        <v>1.0000000000000001E-5</v>
      </c>
      <c r="F5">
        <v>1.0000000000000001E-5</v>
      </c>
      <c r="G5">
        <v>0.6</v>
      </c>
      <c r="H5">
        <v>4.1915595531463623E-2</v>
      </c>
      <c r="I5">
        <v>15200</v>
      </c>
      <c r="J5">
        <v>15200</v>
      </c>
      <c r="K5" t="s">
        <v>28</v>
      </c>
      <c r="L5">
        <v>7.6295562088489532E-2</v>
      </c>
      <c r="M5">
        <v>6499.8913857936859</v>
      </c>
      <c r="N5">
        <v>0.42762443327590038</v>
      </c>
      <c r="O5">
        <v>1.5625E-2</v>
      </c>
      <c r="P5">
        <v>1.5625E-2</v>
      </c>
      <c r="Q5">
        <v>1</v>
      </c>
      <c r="R5">
        <v>1</v>
      </c>
      <c r="S5">
        <v>5</v>
      </c>
      <c r="T5">
        <v>5</v>
      </c>
      <c r="U5" t="s">
        <v>39</v>
      </c>
      <c r="V5" t="s">
        <v>40</v>
      </c>
      <c r="X5" t="s">
        <v>41</v>
      </c>
      <c r="Y5" t="s">
        <v>32</v>
      </c>
    </row>
    <row r="6" spans="1:25" x14ac:dyDescent="0.3">
      <c r="A6">
        <v>5</v>
      </c>
      <c r="B6" t="s">
        <v>25</v>
      </c>
      <c r="C6" t="s">
        <v>26</v>
      </c>
      <c r="D6" t="s">
        <v>27</v>
      </c>
      <c r="E6">
        <v>1.0000000000000001E-5</v>
      </c>
      <c r="F6">
        <v>1.0000000000000001E-5</v>
      </c>
      <c r="G6">
        <v>0.6</v>
      </c>
      <c r="H6">
        <v>4.2845830321311951E-2</v>
      </c>
      <c r="I6">
        <v>15200</v>
      </c>
      <c r="J6">
        <v>15200</v>
      </c>
      <c r="K6" t="s">
        <v>28</v>
      </c>
      <c r="L6">
        <v>0.14239320158958441</v>
      </c>
      <c r="M6">
        <v>4746.8437738418579</v>
      </c>
      <c r="N6">
        <v>0.31229235354222751</v>
      </c>
      <c r="O6">
        <v>1.5625E-2</v>
      </c>
      <c r="P6">
        <v>1.5625E-2</v>
      </c>
      <c r="Q6">
        <v>1</v>
      </c>
      <c r="R6">
        <v>1</v>
      </c>
      <c r="S6">
        <v>5</v>
      </c>
      <c r="T6">
        <v>5</v>
      </c>
      <c r="U6" t="s">
        <v>42</v>
      </c>
      <c r="V6" t="s">
        <v>43</v>
      </c>
      <c r="X6" t="s">
        <v>44</v>
      </c>
      <c r="Y6" t="s">
        <v>32</v>
      </c>
    </row>
    <row r="7" spans="1:25" x14ac:dyDescent="0.3">
      <c r="L7" s="1">
        <f>AVERAGE(L2:L6)</f>
        <v>0.10702769458293915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workbookViewId="0"/>
  </sheetViews>
  <sheetFormatPr defaultRowHeight="16.5" x14ac:dyDescent="0.3"/>
  <sheetData>
    <row r="1" spans="1:15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7</v>
      </c>
      <c r="L1" t="s">
        <v>8</v>
      </c>
      <c r="M1" t="s">
        <v>51</v>
      </c>
      <c r="N1" t="s">
        <v>52</v>
      </c>
      <c r="O1" t="s">
        <v>53</v>
      </c>
    </row>
    <row r="2" spans="1:15" x14ac:dyDescent="0.3">
      <c r="A2">
        <v>1</v>
      </c>
      <c r="B2">
        <v>1</v>
      </c>
      <c r="C2" t="s">
        <v>25</v>
      </c>
      <c r="D2" t="s">
        <v>26</v>
      </c>
      <c r="E2" t="s">
        <v>54</v>
      </c>
      <c r="F2" t="s">
        <v>55</v>
      </c>
      <c r="G2">
        <v>35.127250671386719</v>
      </c>
      <c r="H2">
        <v>1.5977415023371579E-3</v>
      </c>
      <c r="I2">
        <v>6.2567024230957031</v>
      </c>
      <c r="J2">
        <v>0.76842802762985229</v>
      </c>
      <c r="K2">
        <v>35.127250671386719</v>
      </c>
      <c r="L2">
        <v>1</v>
      </c>
      <c r="M2">
        <v>1.0021084547042849</v>
      </c>
      <c r="N2">
        <v>1.0000000000000001E-5</v>
      </c>
      <c r="O2">
        <v>0.62862730026245117</v>
      </c>
    </row>
    <row r="3" spans="1:15" x14ac:dyDescent="0.3">
      <c r="A3">
        <v>1000</v>
      </c>
      <c r="B3">
        <v>1</v>
      </c>
      <c r="C3" t="s">
        <v>25</v>
      </c>
      <c r="D3" t="s">
        <v>26</v>
      </c>
      <c r="E3" t="s">
        <v>54</v>
      </c>
      <c r="F3" t="s">
        <v>55</v>
      </c>
      <c r="G3">
        <v>6.5668864250183114</v>
      </c>
      <c r="H3">
        <v>0.54290401935577393</v>
      </c>
      <c r="I3">
        <v>0.79713320732116699</v>
      </c>
      <c r="J3">
        <v>0.4076632559299469</v>
      </c>
      <c r="K3">
        <v>6.5668864250183114</v>
      </c>
      <c r="L3">
        <v>1000</v>
      </c>
      <c r="M3">
        <v>0.52024054527282715</v>
      </c>
      <c r="N3">
        <v>1.0000000000000001E-5</v>
      </c>
      <c r="O3">
        <v>230.99934077262881</v>
      </c>
    </row>
    <row r="4" spans="1:15" x14ac:dyDescent="0.3">
      <c r="A4">
        <v>2000</v>
      </c>
      <c r="B4">
        <v>1</v>
      </c>
      <c r="C4" t="s">
        <v>25</v>
      </c>
      <c r="D4" t="s">
        <v>26</v>
      </c>
      <c r="E4" t="s">
        <v>54</v>
      </c>
      <c r="F4" t="s">
        <v>55</v>
      </c>
      <c r="G4">
        <v>0.85425996780395508</v>
      </c>
      <c r="H4">
        <v>0.4451453685760498</v>
      </c>
      <c r="I4">
        <v>3.397679328918457E-2</v>
      </c>
      <c r="J4">
        <v>4.7846127301454537E-2</v>
      </c>
      <c r="K4">
        <v>0.85425996780395508</v>
      </c>
      <c r="L4">
        <v>2000</v>
      </c>
      <c r="M4">
        <v>0.26861882209777832</v>
      </c>
      <c r="N4">
        <v>1.0000000000000001E-5</v>
      </c>
      <c r="O4">
        <v>463.0309522151947</v>
      </c>
    </row>
    <row r="5" spans="1:15" x14ac:dyDescent="0.3">
      <c r="A5">
        <v>3000</v>
      </c>
      <c r="B5">
        <v>1</v>
      </c>
      <c r="C5" t="s">
        <v>25</v>
      </c>
      <c r="D5" t="s">
        <v>26</v>
      </c>
      <c r="E5" t="s">
        <v>54</v>
      </c>
      <c r="F5" t="s">
        <v>55</v>
      </c>
      <c r="G5">
        <v>0.43728858232498169</v>
      </c>
      <c r="H5">
        <v>0.20334698259830469</v>
      </c>
      <c r="I5">
        <v>1.771991886198521E-2</v>
      </c>
      <c r="J5">
        <v>2.9068401083350182E-2</v>
      </c>
      <c r="K5">
        <v>0.43728858232498169</v>
      </c>
      <c r="L5">
        <v>3000</v>
      </c>
      <c r="M5">
        <v>0.18506000936031339</v>
      </c>
      <c r="N5">
        <v>1.0000000000000001E-5</v>
      </c>
      <c r="O5">
        <v>695.63042783737183</v>
      </c>
    </row>
    <row r="6" spans="1:15" x14ac:dyDescent="0.3">
      <c r="A6">
        <v>4000</v>
      </c>
      <c r="B6">
        <v>1</v>
      </c>
      <c r="C6" t="s">
        <v>25</v>
      </c>
      <c r="D6" t="s">
        <v>26</v>
      </c>
      <c r="E6" t="s">
        <v>54</v>
      </c>
      <c r="F6" t="s">
        <v>55</v>
      </c>
      <c r="G6">
        <v>0.37343832850456238</v>
      </c>
      <c r="H6">
        <v>0.16792742908000949</v>
      </c>
      <c r="I6">
        <v>1.717256382107735E-2</v>
      </c>
      <c r="J6">
        <v>2.3929614573717121E-2</v>
      </c>
      <c r="K6">
        <v>0.37343832850456238</v>
      </c>
      <c r="L6">
        <v>4000</v>
      </c>
      <c r="M6">
        <v>0.16627953946590421</v>
      </c>
      <c r="N6">
        <v>1.0000000000000001E-5</v>
      </c>
      <c r="O6">
        <v>928.23135471343994</v>
      </c>
    </row>
    <row r="7" spans="1:15" x14ac:dyDescent="0.3">
      <c r="A7">
        <v>5000</v>
      </c>
      <c r="B7">
        <v>1</v>
      </c>
      <c r="C7" t="s">
        <v>25</v>
      </c>
      <c r="D7" t="s">
        <v>26</v>
      </c>
      <c r="E7" t="s">
        <v>54</v>
      </c>
      <c r="F7" t="s">
        <v>55</v>
      </c>
      <c r="G7">
        <v>0.33354213833808899</v>
      </c>
      <c r="H7">
        <v>0.15581147372722631</v>
      </c>
      <c r="I7">
        <v>1.637163199484348E-2</v>
      </c>
      <c r="J7">
        <v>1.9174499437212941E-2</v>
      </c>
      <c r="K7">
        <v>0.33354213833808899</v>
      </c>
      <c r="L7">
        <v>5000</v>
      </c>
      <c r="M7">
        <v>0.15507104992866519</v>
      </c>
      <c r="N7">
        <v>1.0000000000000001E-5</v>
      </c>
      <c r="O7">
        <v>1160.2863297462461</v>
      </c>
    </row>
    <row r="8" spans="1:15" x14ac:dyDescent="0.3">
      <c r="A8">
        <v>6000</v>
      </c>
      <c r="B8">
        <v>1</v>
      </c>
      <c r="C8" t="s">
        <v>25</v>
      </c>
      <c r="D8" t="s">
        <v>26</v>
      </c>
      <c r="E8" t="s">
        <v>54</v>
      </c>
      <c r="F8" t="s">
        <v>55</v>
      </c>
      <c r="G8">
        <v>0.29921352863311768</v>
      </c>
      <c r="H8">
        <v>0.14794923365116119</v>
      </c>
      <c r="I8">
        <v>1.5041626989841459E-2</v>
      </c>
      <c r="J8">
        <v>1.521122734993696E-2</v>
      </c>
      <c r="K8">
        <v>0.29921352863311768</v>
      </c>
      <c r="L8">
        <v>6000</v>
      </c>
      <c r="M8">
        <v>0.14628930389881131</v>
      </c>
      <c r="N8">
        <v>1.0000000000000001E-5</v>
      </c>
      <c r="O8">
        <v>1392.1494135856631</v>
      </c>
    </row>
    <row r="9" spans="1:15" x14ac:dyDescent="0.3">
      <c r="A9">
        <v>7000</v>
      </c>
      <c r="B9">
        <v>1</v>
      </c>
      <c r="C9" t="s">
        <v>25</v>
      </c>
      <c r="D9" t="s">
        <v>26</v>
      </c>
      <c r="E9" t="s">
        <v>54</v>
      </c>
      <c r="F9" t="s">
        <v>55</v>
      </c>
      <c r="G9">
        <v>0.21689432859420779</v>
      </c>
      <c r="H9">
        <v>0.105943389236927</v>
      </c>
      <c r="I9">
        <v>1.121555361896753E-2</v>
      </c>
      <c r="J9">
        <v>1.097463350743055E-2</v>
      </c>
      <c r="K9">
        <v>0.21689432859420779</v>
      </c>
      <c r="L9">
        <v>7000</v>
      </c>
      <c r="M9">
        <v>0.123478889465332</v>
      </c>
      <c r="N9">
        <v>1.0000000000000001E-5</v>
      </c>
      <c r="O9">
        <v>1621.437871456146</v>
      </c>
    </row>
    <row r="10" spans="1:15" x14ac:dyDescent="0.3">
      <c r="A10">
        <v>8000</v>
      </c>
      <c r="B10">
        <v>1</v>
      </c>
      <c r="C10" t="s">
        <v>25</v>
      </c>
      <c r="D10" t="s">
        <v>26</v>
      </c>
      <c r="E10" t="s">
        <v>54</v>
      </c>
      <c r="F10" t="s">
        <v>55</v>
      </c>
      <c r="G10">
        <v>0.19663907587528229</v>
      </c>
      <c r="H10">
        <v>9.6742965281009674E-2</v>
      </c>
      <c r="I10">
        <v>9.730546735227108E-3</v>
      </c>
      <c r="J10">
        <v>1.0248675942420959E-2</v>
      </c>
      <c r="K10">
        <v>0.19587258994579321</v>
      </c>
      <c r="L10">
        <v>7999</v>
      </c>
      <c r="M10">
        <v>0.1191174760460854</v>
      </c>
      <c r="N10">
        <v>1.0000000000000001E-5</v>
      </c>
      <c r="O10">
        <v>1846.633808612823</v>
      </c>
    </row>
    <row r="11" spans="1:15" x14ac:dyDescent="0.3">
      <c r="A11">
        <v>9000</v>
      </c>
      <c r="B11">
        <v>1</v>
      </c>
      <c r="C11" t="s">
        <v>25</v>
      </c>
      <c r="D11" t="s">
        <v>26</v>
      </c>
      <c r="E11" t="s">
        <v>54</v>
      </c>
      <c r="F11" t="s">
        <v>55</v>
      </c>
      <c r="G11">
        <v>0.2169685363769531</v>
      </c>
      <c r="H11">
        <v>0.1165510192513466</v>
      </c>
      <c r="I11">
        <v>9.8476875573396683E-3</v>
      </c>
      <c r="J11">
        <v>1.023581437766552E-2</v>
      </c>
      <c r="K11">
        <v>0.1955145746469498</v>
      </c>
      <c r="L11">
        <v>8007</v>
      </c>
      <c r="M11">
        <v>0.12216354161500929</v>
      </c>
      <c r="N11">
        <v>1.0000000000000001E-5</v>
      </c>
      <c r="O11">
        <v>2070.812918901443</v>
      </c>
    </row>
    <row r="12" spans="1:15" x14ac:dyDescent="0.3">
      <c r="A12">
        <v>10000</v>
      </c>
      <c r="B12">
        <v>1</v>
      </c>
      <c r="C12" t="s">
        <v>25</v>
      </c>
      <c r="D12" t="s">
        <v>26</v>
      </c>
      <c r="E12" t="s">
        <v>54</v>
      </c>
      <c r="F12" t="s">
        <v>55</v>
      </c>
      <c r="G12">
        <v>0.1908520311117172</v>
      </c>
      <c r="H12">
        <v>9.5158129930496216E-2</v>
      </c>
      <c r="I12">
        <v>9.1085396707057953E-3</v>
      </c>
      <c r="J12">
        <v>1.003023982048035E-2</v>
      </c>
      <c r="K12">
        <v>0.18941117823123929</v>
      </c>
      <c r="L12">
        <v>9999</v>
      </c>
      <c r="M12">
        <v>0.1198334768414497</v>
      </c>
      <c r="N12">
        <v>1.0000000000000001E-5</v>
      </c>
      <c r="O12">
        <v>2298.188732624054</v>
      </c>
    </row>
    <row r="13" spans="1:15" x14ac:dyDescent="0.3">
      <c r="A13">
        <v>11000</v>
      </c>
      <c r="B13">
        <v>1</v>
      </c>
      <c r="C13" t="s">
        <v>25</v>
      </c>
      <c r="D13" t="s">
        <v>26</v>
      </c>
      <c r="E13" t="s">
        <v>54</v>
      </c>
      <c r="F13" t="s">
        <v>55</v>
      </c>
      <c r="G13">
        <v>0.18064263463020319</v>
      </c>
      <c r="H13">
        <v>9.0270228683948517E-2</v>
      </c>
      <c r="I13">
        <v>7.7843591570854187E-3</v>
      </c>
      <c r="J13">
        <v>1.0290120728313919E-2</v>
      </c>
      <c r="K13">
        <v>0.17472401261329651</v>
      </c>
      <c r="L13">
        <v>10990</v>
      </c>
      <c r="M13">
        <v>0.1181057244539261</v>
      </c>
      <c r="N13">
        <v>1.0000000000000001E-5</v>
      </c>
      <c r="O13">
        <v>2524.7838432788849</v>
      </c>
    </row>
    <row r="14" spans="1:15" x14ac:dyDescent="0.3">
      <c r="A14">
        <v>12000</v>
      </c>
      <c r="B14">
        <v>1</v>
      </c>
      <c r="C14" t="s">
        <v>25</v>
      </c>
      <c r="D14" t="s">
        <v>26</v>
      </c>
      <c r="E14" t="s">
        <v>54</v>
      </c>
      <c r="F14" t="s">
        <v>55</v>
      </c>
      <c r="G14">
        <v>0.17185050249099729</v>
      </c>
      <c r="H14">
        <v>9.0080991387367249E-2</v>
      </c>
      <c r="I14">
        <v>6.7805522121489048E-3</v>
      </c>
      <c r="J14">
        <v>9.5733487978577614E-3</v>
      </c>
      <c r="K14">
        <v>0.16593544185161591</v>
      </c>
      <c r="L14">
        <v>11746</v>
      </c>
      <c r="M14">
        <v>0.1156399995088577</v>
      </c>
      <c r="N14">
        <v>1.0000000000000001E-5</v>
      </c>
      <c r="O14">
        <v>2747.420315265656</v>
      </c>
    </row>
    <row r="15" spans="1:15" x14ac:dyDescent="0.3">
      <c r="A15">
        <v>13000</v>
      </c>
      <c r="B15">
        <v>1</v>
      </c>
      <c r="C15" t="s">
        <v>25</v>
      </c>
      <c r="D15" t="s">
        <v>26</v>
      </c>
      <c r="E15" t="s">
        <v>54</v>
      </c>
      <c r="F15" t="s">
        <v>55</v>
      </c>
      <c r="G15">
        <v>0.15249250829219821</v>
      </c>
      <c r="H15">
        <v>7.9240716993808746E-2</v>
      </c>
      <c r="I15">
        <v>5.6867687962949276E-3</v>
      </c>
      <c r="J15">
        <v>8.9635886251926422E-3</v>
      </c>
      <c r="K15">
        <v>0.15249250829219821</v>
      </c>
      <c r="L15">
        <v>13000</v>
      </c>
      <c r="M15">
        <v>0.1139048188924789</v>
      </c>
      <c r="N15">
        <v>1.0000000000000001E-5</v>
      </c>
      <c r="O15">
        <v>2970.4583714008331</v>
      </c>
    </row>
    <row r="16" spans="1:15" x14ac:dyDescent="0.3">
      <c r="A16">
        <v>14000</v>
      </c>
      <c r="B16">
        <v>1</v>
      </c>
      <c r="C16" t="s">
        <v>25</v>
      </c>
      <c r="D16" t="s">
        <v>26</v>
      </c>
      <c r="E16" t="s">
        <v>54</v>
      </c>
      <c r="F16" t="s">
        <v>55</v>
      </c>
      <c r="G16">
        <v>0.1461570858955383</v>
      </c>
      <c r="H16">
        <v>8.0352813005447388E-2</v>
      </c>
      <c r="I16">
        <v>4.24543721601367E-3</v>
      </c>
      <c r="J16">
        <v>8.915415033698082E-3</v>
      </c>
      <c r="K16">
        <v>0.1377404183149338</v>
      </c>
      <c r="L16">
        <v>13997</v>
      </c>
      <c r="M16">
        <v>0.1126233488321304</v>
      </c>
      <c r="N16">
        <v>1.0000000000000001E-5</v>
      </c>
      <c r="O16">
        <v>3191.7785952091222</v>
      </c>
    </row>
    <row r="17" spans="1:15" x14ac:dyDescent="0.3">
      <c r="A17">
        <v>15000</v>
      </c>
      <c r="B17">
        <v>1</v>
      </c>
      <c r="C17" t="s">
        <v>25</v>
      </c>
      <c r="D17" t="s">
        <v>26</v>
      </c>
      <c r="E17" t="s">
        <v>54</v>
      </c>
      <c r="F17" t="s">
        <v>55</v>
      </c>
      <c r="G17">
        <v>0.1353965699672699</v>
      </c>
      <c r="H17">
        <v>7.600654661655426E-2</v>
      </c>
      <c r="I17">
        <v>3.5119424574077129E-3</v>
      </c>
      <c r="J17">
        <v>8.3660604432225227E-3</v>
      </c>
      <c r="K17">
        <v>0.126932218670845</v>
      </c>
      <c r="L17">
        <v>14883</v>
      </c>
      <c r="M17">
        <v>0.111610122025013</v>
      </c>
      <c r="N17">
        <v>1.0000000000000001E-5</v>
      </c>
      <c r="O17">
        <v>3413.019371271133</v>
      </c>
    </row>
    <row r="18" spans="1:15" x14ac:dyDescent="0.3">
      <c r="A18">
        <v>1</v>
      </c>
      <c r="B18">
        <v>2</v>
      </c>
      <c r="C18" t="s">
        <v>25</v>
      </c>
      <c r="D18" t="s">
        <v>26</v>
      </c>
      <c r="E18" t="s">
        <v>54</v>
      </c>
      <c r="F18" t="s">
        <v>55</v>
      </c>
      <c r="G18">
        <v>34.935836791992188</v>
      </c>
      <c r="H18">
        <v>7.8946811845526099E-4</v>
      </c>
      <c r="I18">
        <v>6.2298650741577148</v>
      </c>
      <c r="J18">
        <v>0.75714385509490967</v>
      </c>
      <c r="K18">
        <v>34.935836791992188</v>
      </c>
      <c r="L18">
        <v>1</v>
      </c>
      <c r="M18">
        <v>0.99870872497558594</v>
      </c>
      <c r="N18">
        <v>1.0000000000000001E-5</v>
      </c>
      <c r="O18">
        <v>0.41672992706298828</v>
      </c>
    </row>
    <row r="19" spans="1:15" x14ac:dyDescent="0.3">
      <c r="A19">
        <v>1000</v>
      </c>
      <c r="B19">
        <v>2</v>
      </c>
      <c r="C19" t="s">
        <v>25</v>
      </c>
      <c r="D19" t="s">
        <v>26</v>
      </c>
      <c r="E19" t="s">
        <v>54</v>
      </c>
      <c r="F19" t="s">
        <v>55</v>
      </c>
      <c r="G19">
        <v>5.0252199172973633</v>
      </c>
      <c r="H19">
        <v>1.244599461555481</v>
      </c>
      <c r="I19">
        <v>0.52399712800979614</v>
      </c>
      <c r="J19">
        <v>0.2321270555257797</v>
      </c>
      <c r="K19">
        <v>5.0252199172973633</v>
      </c>
      <c r="L19">
        <v>1000</v>
      </c>
      <c r="M19">
        <v>0.54024922847747803</v>
      </c>
      <c r="N19">
        <v>1.0000000000000001E-5</v>
      </c>
      <c r="O19">
        <v>229.44819378852841</v>
      </c>
    </row>
    <row r="20" spans="1:15" x14ac:dyDescent="0.3">
      <c r="A20">
        <v>2000</v>
      </c>
      <c r="B20">
        <v>2</v>
      </c>
      <c r="C20" t="s">
        <v>25</v>
      </c>
      <c r="D20" t="s">
        <v>26</v>
      </c>
      <c r="E20" t="s">
        <v>54</v>
      </c>
      <c r="F20" t="s">
        <v>55</v>
      </c>
      <c r="G20">
        <v>1.3881499767303469</v>
      </c>
      <c r="H20">
        <v>0.79158109426498413</v>
      </c>
      <c r="I20">
        <v>6.9077141582965851E-2</v>
      </c>
      <c r="J20">
        <v>5.0236642360687263E-2</v>
      </c>
      <c r="K20">
        <v>1.3881499767303469</v>
      </c>
      <c r="L20">
        <v>2000</v>
      </c>
      <c r="M20">
        <v>0.34616884589195251</v>
      </c>
      <c r="N20">
        <v>1.0000000000000001E-5</v>
      </c>
      <c r="O20">
        <v>462.11551427841192</v>
      </c>
    </row>
    <row r="21" spans="1:15" x14ac:dyDescent="0.3">
      <c r="A21">
        <v>3000</v>
      </c>
      <c r="B21">
        <v>2</v>
      </c>
      <c r="C21" t="s">
        <v>25</v>
      </c>
      <c r="D21" t="s">
        <v>26</v>
      </c>
      <c r="E21" t="s">
        <v>54</v>
      </c>
      <c r="F21" t="s">
        <v>55</v>
      </c>
      <c r="G21">
        <v>0.51187288761138916</v>
      </c>
      <c r="H21">
        <v>0.25267624855041498</v>
      </c>
      <c r="I21">
        <v>2.557381056249142E-2</v>
      </c>
      <c r="J21">
        <v>2.626551873981953E-2</v>
      </c>
      <c r="K21">
        <v>0.51187288761138916</v>
      </c>
      <c r="L21">
        <v>3000</v>
      </c>
      <c r="M21">
        <v>0.1921466737985611</v>
      </c>
      <c r="N21">
        <v>1.0000000000000001E-5</v>
      </c>
      <c r="O21">
        <v>694.47374725341797</v>
      </c>
    </row>
    <row r="22" spans="1:15" x14ac:dyDescent="0.3">
      <c r="A22">
        <v>4000</v>
      </c>
      <c r="B22">
        <v>2</v>
      </c>
      <c r="C22" t="s">
        <v>25</v>
      </c>
      <c r="D22" t="s">
        <v>26</v>
      </c>
      <c r="E22" t="s">
        <v>54</v>
      </c>
      <c r="F22" t="s">
        <v>55</v>
      </c>
      <c r="G22">
        <v>0.41137439012527471</v>
      </c>
      <c r="H22">
        <v>0.18694871664047241</v>
      </c>
      <c r="I22">
        <v>1.987519301474094E-2</v>
      </c>
      <c r="J22">
        <v>2.500994503498077E-2</v>
      </c>
      <c r="K22">
        <v>0.41137439012527471</v>
      </c>
      <c r="L22">
        <v>4000</v>
      </c>
      <c r="M22">
        <v>0.1726954132318497</v>
      </c>
      <c r="N22">
        <v>1.0000000000000001E-5</v>
      </c>
      <c r="O22">
        <v>926.73372101783752</v>
      </c>
    </row>
    <row r="23" spans="1:15" x14ac:dyDescent="0.3">
      <c r="A23">
        <v>5000</v>
      </c>
      <c r="B23">
        <v>2</v>
      </c>
      <c r="C23" t="s">
        <v>25</v>
      </c>
      <c r="D23" t="s">
        <v>26</v>
      </c>
      <c r="E23" t="s">
        <v>54</v>
      </c>
      <c r="F23" t="s">
        <v>55</v>
      </c>
      <c r="G23">
        <v>0.37665748596191412</v>
      </c>
      <c r="H23">
        <v>0.1705787181854248</v>
      </c>
      <c r="I23">
        <v>1.8032412976026539E-2</v>
      </c>
      <c r="J23">
        <v>2.3183338344097141E-2</v>
      </c>
      <c r="K23">
        <v>0.37665748596191412</v>
      </c>
      <c r="L23">
        <v>5000</v>
      </c>
      <c r="M23">
        <v>0.1659664511680603</v>
      </c>
      <c r="N23">
        <v>1.0000000000000001E-5</v>
      </c>
      <c r="O23">
        <v>1158.650771141052</v>
      </c>
    </row>
    <row r="24" spans="1:15" x14ac:dyDescent="0.3">
      <c r="A24">
        <v>6000</v>
      </c>
      <c r="B24">
        <v>2</v>
      </c>
      <c r="C24" t="s">
        <v>25</v>
      </c>
      <c r="D24" t="s">
        <v>26</v>
      </c>
      <c r="E24" t="s">
        <v>54</v>
      </c>
      <c r="F24" t="s">
        <v>55</v>
      </c>
      <c r="G24">
        <v>0.35195451974868769</v>
      </c>
      <c r="H24">
        <v>0.1640942841768265</v>
      </c>
      <c r="I24">
        <v>1.6629403457045559E-2</v>
      </c>
      <c r="J24">
        <v>2.094264701008797E-2</v>
      </c>
      <c r="K24">
        <v>0.35195451974868769</v>
      </c>
      <c r="L24">
        <v>6000</v>
      </c>
      <c r="M24">
        <v>0.16106632351875311</v>
      </c>
      <c r="N24">
        <v>1.0000000000000001E-5</v>
      </c>
      <c r="O24">
        <v>1390.5484414100649</v>
      </c>
    </row>
    <row r="25" spans="1:15" x14ac:dyDescent="0.3">
      <c r="A25">
        <v>7000</v>
      </c>
      <c r="B25">
        <v>2</v>
      </c>
      <c r="C25" t="s">
        <v>25</v>
      </c>
      <c r="D25" t="s">
        <v>26</v>
      </c>
      <c r="E25" t="s">
        <v>54</v>
      </c>
      <c r="F25" t="s">
        <v>55</v>
      </c>
      <c r="G25">
        <v>0.3212202787399292</v>
      </c>
      <c r="H25">
        <v>0.15834587812423709</v>
      </c>
      <c r="I25">
        <v>1.4295303262770179E-2</v>
      </c>
      <c r="J25">
        <v>1.827957667410374E-2</v>
      </c>
      <c r="K25">
        <v>0.3212202787399292</v>
      </c>
      <c r="L25">
        <v>7000</v>
      </c>
      <c r="M25">
        <v>0.15557436645030981</v>
      </c>
      <c r="N25">
        <v>1.0000000000000001E-5</v>
      </c>
      <c r="O25">
        <v>1622.4802966117859</v>
      </c>
    </row>
    <row r="26" spans="1:15" x14ac:dyDescent="0.3">
      <c r="A26">
        <v>8000</v>
      </c>
      <c r="B26">
        <v>2</v>
      </c>
      <c r="C26" t="s">
        <v>25</v>
      </c>
      <c r="D26" t="s">
        <v>26</v>
      </c>
      <c r="E26" t="s">
        <v>54</v>
      </c>
      <c r="F26" t="s">
        <v>55</v>
      </c>
      <c r="G26">
        <v>0.27775952219963068</v>
      </c>
      <c r="H26">
        <v>0.15335963666439059</v>
      </c>
      <c r="I26">
        <v>1.05037996545434E-2</v>
      </c>
      <c r="J26">
        <v>1.4376179315149781E-2</v>
      </c>
      <c r="K26">
        <v>0.27775952219963068</v>
      </c>
      <c r="L26">
        <v>8000</v>
      </c>
      <c r="M26">
        <v>0.15034936368465421</v>
      </c>
      <c r="N26">
        <v>1.0000000000000001E-5</v>
      </c>
      <c r="O26">
        <v>1853.035518884659</v>
      </c>
    </row>
    <row r="27" spans="1:15" x14ac:dyDescent="0.3">
      <c r="A27">
        <v>9000</v>
      </c>
      <c r="B27">
        <v>2</v>
      </c>
      <c r="C27" t="s">
        <v>25</v>
      </c>
      <c r="D27" t="s">
        <v>26</v>
      </c>
      <c r="E27" t="s">
        <v>54</v>
      </c>
      <c r="F27" t="s">
        <v>55</v>
      </c>
      <c r="G27">
        <v>0.2177296578884125</v>
      </c>
      <c r="H27">
        <v>0.13125678896903989</v>
      </c>
      <c r="I27">
        <v>7.1550649590790272E-3</v>
      </c>
      <c r="J27">
        <v>1.013950631022453E-2</v>
      </c>
      <c r="K27">
        <v>0.217008501291275</v>
      </c>
      <c r="L27">
        <v>8998</v>
      </c>
      <c r="M27">
        <v>0.14485327899456019</v>
      </c>
      <c r="N27">
        <v>1.0000000000000001E-5</v>
      </c>
      <c r="O27">
        <v>2082.075788974762</v>
      </c>
    </row>
    <row r="28" spans="1:15" x14ac:dyDescent="0.3">
      <c r="A28">
        <v>10000</v>
      </c>
      <c r="B28">
        <v>2</v>
      </c>
      <c r="C28" t="s">
        <v>25</v>
      </c>
      <c r="D28" t="s">
        <v>26</v>
      </c>
      <c r="E28" t="s">
        <v>54</v>
      </c>
      <c r="F28" t="s">
        <v>55</v>
      </c>
      <c r="G28">
        <v>0.17057667672634119</v>
      </c>
      <c r="H28">
        <v>0.1038564294576645</v>
      </c>
      <c r="I28">
        <v>5.7893665507435799E-3</v>
      </c>
      <c r="J28">
        <v>7.5546838343143463E-3</v>
      </c>
      <c r="K28">
        <v>0.16851687431335449</v>
      </c>
      <c r="L28">
        <v>9967</v>
      </c>
      <c r="M28">
        <v>0.1367881894111633</v>
      </c>
      <c r="N28">
        <v>1.0000000000000001E-5</v>
      </c>
      <c r="O28">
        <v>2309.4383323192601</v>
      </c>
    </row>
    <row r="29" spans="1:15" x14ac:dyDescent="0.3">
      <c r="A29">
        <v>11000</v>
      </c>
      <c r="B29">
        <v>2</v>
      </c>
      <c r="C29" t="s">
        <v>25</v>
      </c>
      <c r="D29" t="s">
        <v>26</v>
      </c>
      <c r="E29" t="s">
        <v>54</v>
      </c>
      <c r="F29" t="s">
        <v>55</v>
      </c>
      <c r="G29">
        <v>0.14757764339447019</v>
      </c>
      <c r="H29">
        <v>8.9252322912216187E-2</v>
      </c>
      <c r="I29">
        <v>5.0440840423107147E-3</v>
      </c>
      <c r="J29">
        <v>6.6209807991981506E-3</v>
      </c>
      <c r="K29">
        <v>0.14527018368244171</v>
      </c>
      <c r="L29">
        <v>10911</v>
      </c>
      <c r="M29">
        <v>0.13040578365325931</v>
      </c>
      <c r="N29">
        <v>1.0000000000000001E-5</v>
      </c>
      <c r="O29">
        <v>2534.768208265305</v>
      </c>
    </row>
    <row r="30" spans="1:15" x14ac:dyDescent="0.3">
      <c r="A30">
        <v>12000</v>
      </c>
      <c r="B30">
        <v>2</v>
      </c>
      <c r="C30" t="s">
        <v>25</v>
      </c>
      <c r="D30" t="s">
        <v>26</v>
      </c>
      <c r="E30" t="s">
        <v>54</v>
      </c>
      <c r="F30" t="s">
        <v>55</v>
      </c>
      <c r="G30">
        <v>0.1277740150690079</v>
      </c>
      <c r="H30">
        <v>7.5942456722259521E-2</v>
      </c>
      <c r="I30">
        <v>4.3230042792856693E-3</v>
      </c>
      <c r="J30">
        <v>6.0433070175349712E-3</v>
      </c>
      <c r="K30">
        <v>0.12506988644599909</v>
      </c>
      <c r="L30">
        <v>11893</v>
      </c>
      <c r="M30">
        <v>0.1184018030762672</v>
      </c>
      <c r="N30">
        <v>1.0000000000000001E-5</v>
      </c>
      <c r="O30">
        <v>2853.0629546642299</v>
      </c>
    </row>
    <row r="31" spans="1:15" x14ac:dyDescent="0.3">
      <c r="A31">
        <v>13000</v>
      </c>
      <c r="B31">
        <v>2</v>
      </c>
      <c r="C31" t="s">
        <v>25</v>
      </c>
      <c r="D31" t="s">
        <v>26</v>
      </c>
      <c r="E31" t="s">
        <v>54</v>
      </c>
      <c r="F31" t="s">
        <v>55</v>
      </c>
      <c r="G31">
        <v>0.11029773950576779</v>
      </c>
      <c r="H31">
        <v>6.3512712717056274E-2</v>
      </c>
      <c r="I31">
        <v>3.86521965265274E-3</v>
      </c>
      <c r="J31">
        <v>5.4917866364121437E-3</v>
      </c>
      <c r="K31">
        <v>0.1068281233310699</v>
      </c>
      <c r="L31">
        <v>12867</v>
      </c>
      <c r="M31">
        <v>0.1097462549805641</v>
      </c>
      <c r="N31">
        <v>1.0000000000000001E-5</v>
      </c>
      <c r="O31">
        <v>3196.0164003372188</v>
      </c>
    </row>
    <row r="32" spans="1:15" x14ac:dyDescent="0.3">
      <c r="A32">
        <v>14000</v>
      </c>
      <c r="B32">
        <v>2</v>
      </c>
      <c r="C32" t="s">
        <v>25</v>
      </c>
      <c r="D32" t="s">
        <v>26</v>
      </c>
      <c r="E32" t="s">
        <v>54</v>
      </c>
      <c r="F32" t="s">
        <v>55</v>
      </c>
      <c r="G32">
        <v>0.10191775858402249</v>
      </c>
      <c r="H32">
        <v>5.9478059411048889E-2</v>
      </c>
      <c r="I32">
        <v>3.1426246277987961E-3</v>
      </c>
      <c r="J32">
        <v>5.3453152067959309E-3</v>
      </c>
      <c r="K32">
        <v>9.153401106595993E-2</v>
      </c>
      <c r="L32">
        <v>13900</v>
      </c>
      <c r="M32">
        <v>9.9082186818122864E-2</v>
      </c>
      <c r="N32">
        <v>1.0000000000000001E-5</v>
      </c>
      <c r="O32">
        <v>3538.1610360145569</v>
      </c>
    </row>
    <row r="33" spans="1:15" x14ac:dyDescent="0.3">
      <c r="A33">
        <v>15000</v>
      </c>
      <c r="B33">
        <v>2</v>
      </c>
      <c r="C33" t="s">
        <v>25</v>
      </c>
      <c r="D33" t="s">
        <v>26</v>
      </c>
      <c r="E33" t="s">
        <v>54</v>
      </c>
      <c r="F33" t="s">
        <v>55</v>
      </c>
      <c r="G33">
        <v>8.9325852692127228E-2</v>
      </c>
      <c r="H33">
        <v>4.703894630074501E-2</v>
      </c>
      <c r="I33">
        <v>3.777860663831234E-3</v>
      </c>
      <c r="J33">
        <v>4.6795206144452104E-3</v>
      </c>
      <c r="K33">
        <v>8.8929936289787292E-2</v>
      </c>
      <c r="L33">
        <v>14940</v>
      </c>
      <c r="M33">
        <v>9.7720548510551453E-2</v>
      </c>
      <c r="N33">
        <v>1.0000000000000001E-5</v>
      </c>
      <c r="O33">
        <v>3873.162896156311</v>
      </c>
    </row>
    <row r="34" spans="1:15" x14ac:dyDescent="0.3">
      <c r="A34">
        <v>1</v>
      </c>
      <c r="B34">
        <v>3</v>
      </c>
      <c r="C34" t="s">
        <v>25</v>
      </c>
      <c r="D34" t="s">
        <v>26</v>
      </c>
      <c r="E34" t="s">
        <v>54</v>
      </c>
      <c r="F34" t="s">
        <v>55</v>
      </c>
      <c r="G34">
        <v>35.029041290283203</v>
      </c>
      <c r="H34">
        <v>1.313656219281256E-3</v>
      </c>
      <c r="I34">
        <v>6.2442851066589364</v>
      </c>
      <c r="J34">
        <v>0.7612602710723877</v>
      </c>
      <c r="K34">
        <v>35.029041290283203</v>
      </c>
      <c r="L34">
        <v>1</v>
      </c>
      <c r="M34">
        <v>0.99824577569961548</v>
      </c>
      <c r="N34">
        <v>1.0000000000000001E-5</v>
      </c>
      <c r="O34">
        <v>0.5576481819152832</v>
      </c>
    </row>
    <row r="35" spans="1:15" x14ac:dyDescent="0.3">
      <c r="A35">
        <v>1000</v>
      </c>
      <c r="B35">
        <v>3</v>
      </c>
      <c r="C35" t="s">
        <v>25</v>
      </c>
      <c r="D35" t="s">
        <v>26</v>
      </c>
      <c r="E35" t="s">
        <v>54</v>
      </c>
      <c r="F35" t="s">
        <v>55</v>
      </c>
      <c r="G35">
        <v>5.1830205917358398</v>
      </c>
      <c r="H35">
        <v>1.0256321430206301</v>
      </c>
      <c r="I35">
        <v>0.64622968435287476</v>
      </c>
      <c r="J35">
        <v>0.18524801731109619</v>
      </c>
      <c r="K35">
        <v>5.1830205917358398</v>
      </c>
      <c r="L35">
        <v>1000</v>
      </c>
      <c r="M35">
        <v>0.54274410009384155</v>
      </c>
      <c r="N35">
        <v>1.0000000000000001E-5</v>
      </c>
      <c r="O35">
        <v>334.73548007011408</v>
      </c>
    </row>
    <row r="36" spans="1:15" x14ac:dyDescent="0.3">
      <c r="A36">
        <v>2000</v>
      </c>
      <c r="B36">
        <v>3</v>
      </c>
      <c r="C36" t="s">
        <v>25</v>
      </c>
      <c r="D36" t="s">
        <v>26</v>
      </c>
      <c r="E36" t="s">
        <v>54</v>
      </c>
      <c r="F36" t="s">
        <v>55</v>
      </c>
      <c r="G36">
        <v>0.82629567384719849</v>
      </c>
      <c r="H36">
        <v>0.4354090690612793</v>
      </c>
      <c r="I36">
        <v>4.1631255298852921E-2</v>
      </c>
      <c r="J36">
        <v>3.6546062678098679E-2</v>
      </c>
      <c r="K36">
        <v>0.82629567384719849</v>
      </c>
      <c r="L36">
        <v>2000</v>
      </c>
      <c r="M36">
        <v>0.2601565420627594</v>
      </c>
      <c r="N36">
        <v>1.0000000000000001E-5</v>
      </c>
      <c r="O36">
        <v>667.91613864898682</v>
      </c>
    </row>
    <row r="37" spans="1:15" x14ac:dyDescent="0.3">
      <c r="A37">
        <v>3000</v>
      </c>
      <c r="B37">
        <v>3</v>
      </c>
      <c r="C37" t="s">
        <v>25</v>
      </c>
      <c r="D37" t="s">
        <v>26</v>
      </c>
      <c r="E37" t="s">
        <v>54</v>
      </c>
      <c r="F37" t="s">
        <v>55</v>
      </c>
      <c r="G37">
        <v>0.41034120321273798</v>
      </c>
      <c r="H37">
        <v>0.18319527804851529</v>
      </c>
      <c r="I37">
        <v>2.0012019202113152E-2</v>
      </c>
      <c r="J37">
        <v>2.5417165830731388E-2</v>
      </c>
      <c r="K37">
        <v>0.41034120321273798</v>
      </c>
      <c r="L37">
        <v>3000</v>
      </c>
      <c r="M37">
        <v>0.16844874620437619</v>
      </c>
      <c r="N37">
        <v>1.0000000000000001E-5</v>
      </c>
      <c r="O37">
        <v>999.69756150245667</v>
      </c>
    </row>
    <row r="38" spans="1:15" x14ac:dyDescent="0.3">
      <c r="A38">
        <v>4000</v>
      </c>
      <c r="B38">
        <v>3</v>
      </c>
      <c r="C38" t="s">
        <v>25</v>
      </c>
      <c r="D38" t="s">
        <v>26</v>
      </c>
      <c r="E38" t="s">
        <v>54</v>
      </c>
      <c r="F38" t="s">
        <v>55</v>
      </c>
      <c r="G38">
        <v>0.34228557348251343</v>
      </c>
      <c r="H38">
        <v>0.16409581899642939</v>
      </c>
      <c r="I38">
        <v>1.5399265103042129E-2</v>
      </c>
      <c r="J38">
        <v>2.0238686352968219E-2</v>
      </c>
      <c r="K38">
        <v>0.34228557348251343</v>
      </c>
      <c r="L38">
        <v>4000</v>
      </c>
      <c r="M38">
        <v>0.15136450529098511</v>
      </c>
      <c r="N38">
        <v>1.0000000000000001E-5</v>
      </c>
      <c r="O38">
        <v>1331.0983400344851</v>
      </c>
    </row>
    <row r="39" spans="1:15" x14ac:dyDescent="0.3">
      <c r="A39">
        <v>5000</v>
      </c>
      <c r="B39">
        <v>3</v>
      </c>
      <c r="C39" t="s">
        <v>25</v>
      </c>
      <c r="D39" t="s">
        <v>26</v>
      </c>
      <c r="E39" t="s">
        <v>54</v>
      </c>
      <c r="F39" t="s">
        <v>55</v>
      </c>
      <c r="G39">
        <v>0.30225926637649542</v>
      </c>
      <c r="H39">
        <v>0.1605026721954346</v>
      </c>
      <c r="I39">
        <v>1.265721395611763E-2</v>
      </c>
      <c r="J39">
        <v>1.5694104135036469E-2</v>
      </c>
      <c r="K39">
        <v>0.30225926637649542</v>
      </c>
      <c r="L39">
        <v>5000</v>
      </c>
      <c r="M39">
        <v>0.1454641371965408</v>
      </c>
      <c r="N39">
        <v>1.0000000000000001E-5</v>
      </c>
      <c r="O39">
        <v>1660.896942615509</v>
      </c>
    </row>
    <row r="40" spans="1:15" x14ac:dyDescent="0.3">
      <c r="A40">
        <v>6000</v>
      </c>
      <c r="B40">
        <v>3</v>
      </c>
      <c r="C40" t="s">
        <v>25</v>
      </c>
      <c r="D40" t="s">
        <v>26</v>
      </c>
      <c r="E40" t="s">
        <v>54</v>
      </c>
      <c r="F40" t="s">
        <v>55</v>
      </c>
      <c r="G40">
        <v>0.22363169491291049</v>
      </c>
      <c r="H40">
        <v>0.13452288508415219</v>
      </c>
      <c r="I40">
        <v>7.9756574705243111E-3</v>
      </c>
      <c r="J40">
        <v>9.8461052402853966E-3</v>
      </c>
      <c r="K40">
        <v>0.22363169491291049</v>
      </c>
      <c r="L40">
        <v>6000</v>
      </c>
      <c r="M40">
        <v>0.1186361536383629</v>
      </c>
      <c r="N40">
        <v>1.0000000000000001E-5</v>
      </c>
      <c r="O40">
        <v>1986.340087652206</v>
      </c>
    </row>
    <row r="41" spans="1:15" x14ac:dyDescent="0.3">
      <c r="A41">
        <v>7000</v>
      </c>
      <c r="B41">
        <v>3</v>
      </c>
      <c r="C41" t="s">
        <v>25</v>
      </c>
      <c r="D41" t="s">
        <v>26</v>
      </c>
      <c r="E41" t="s">
        <v>54</v>
      </c>
      <c r="F41" t="s">
        <v>55</v>
      </c>
      <c r="G41">
        <v>0.17983439564704901</v>
      </c>
      <c r="H41">
        <v>0.1096826866269112</v>
      </c>
      <c r="I41">
        <v>5.7595204561948776E-3</v>
      </c>
      <c r="J41">
        <v>8.2708196714520454E-3</v>
      </c>
      <c r="K41">
        <v>0.17983439564704901</v>
      </c>
      <c r="L41">
        <v>7000</v>
      </c>
      <c r="M41">
        <v>0.1041553840041161</v>
      </c>
      <c r="N41">
        <v>1.0000000000000001E-5</v>
      </c>
      <c r="O41">
        <v>2292.61709856987</v>
      </c>
    </row>
    <row r="42" spans="1:15" x14ac:dyDescent="0.3">
      <c r="A42">
        <v>8000</v>
      </c>
      <c r="B42">
        <v>3</v>
      </c>
      <c r="C42" t="s">
        <v>25</v>
      </c>
      <c r="D42" t="s">
        <v>26</v>
      </c>
      <c r="E42" t="s">
        <v>54</v>
      </c>
      <c r="F42" t="s">
        <v>55</v>
      </c>
      <c r="G42">
        <v>0.1658589094877243</v>
      </c>
      <c r="H42">
        <v>0.1040647402405739</v>
      </c>
      <c r="I42">
        <v>4.7399685718119136E-3</v>
      </c>
      <c r="J42">
        <v>7.6188654638826847E-3</v>
      </c>
      <c r="K42">
        <v>0.16582918167114261</v>
      </c>
      <c r="L42">
        <v>7993</v>
      </c>
      <c r="M42">
        <v>9.9350206553936005E-2</v>
      </c>
      <c r="N42">
        <v>1.0000000000000001E-5</v>
      </c>
      <c r="O42">
        <v>2629.9392335414891</v>
      </c>
    </row>
    <row r="43" spans="1:15" x14ac:dyDescent="0.3">
      <c r="A43">
        <v>9000</v>
      </c>
      <c r="B43">
        <v>3</v>
      </c>
      <c r="C43" t="s">
        <v>25</v>
      </c>
      <c r="D43" t="s">
        <v>26</v>
      </c>
      <c r="E43" t="s">
        <v>54</v>
      </c>
      <c r="F43" t="s">
        <v>55</v>
      </c>
      <c r="G43">
        <v>0.14319692552089691</v>
      </c>
      <c r="H43">
        <v>8.7532609701156616E-2</v>
      </c>
      <c r="I43">
        <v>3.7837179843336339E-3</v>
      </c>
      <c r="J43">
        <v>7.3491455987095833E-3</v>
      </c>
      <c r="K43">
        <v>0.14319692552089691</v>
      </c>
      <c r="L43">
        <v>9000</v>
      </c>
      <c r="M43">
        <v>0.10113240033388141</v>
      </c>
      <c r="N43">
        <v>1.0000000000000001E-5</v>
      </c>
      <c r="O43">
        <v>2969.5713183879848</v>
      </c>
    </row>
    <row r="44" spans="1:15" x14ac:dyDescent="0.3">
      <c r="A44">
        <v>10000</v>
      </c>
      <c r="B44">
        <v>3</v>
      </c>
      <c r="C44" t="s">
        <v>25</v>
      </c>
      <c r="D44" t="s">
        <v>26</v>
      </c>
      <c r="E44" t="s">
        <v>54</v>
      </c>
      <c r="F44" t="s">
        <v>55</v>
      </c>
      <c r="G44">
        <v>0.14246951043605799</v>
      </c>
      <c r="H44">
        <v>9.2762783169746399E-2</v>
      </c>
      <c r="I44">
        <v>2.8698726091533899E-3</v>
      </c>
      <c r="J44">
        <v>7.0714717730879784E-3</v>
      </c>
      <c r="K44">
        <v>0.1212051957845688</v>
      </c>
      <c r="L44">
        <v>9859</v>
      </c>
      <c r="M44">
        <v>9.6718780696392059E-2</v>
      </c>
      <c r="N44">
        <v>1.0000000000000001E-5</v>
      </c>
      <c r="O44">
        <v>3315.4282507896419</v>
      </c>
    </row>
    <row r="45" spans="1:15" x14ac:dyDescent="0.3">
      <c r="A45">
        <v>11000</v>
      </c>
      <c r="B45">
        <v>3</v>
      </c>
      <c r="C45" t="s">
        <v>25</v>
      </c>
      <c r="D45" t="s">
        <v>26</v>
      </c>
      <c r="E45" t="s">
        <v>54</v>
      </c>
      <c r="F45" t="s">
        <v>55</v>
      </c>
      <c r="G45">
        <v>0.10716954618692399</v>
      </c>
      <c r="H45">
        <v>6.0967229306697852E-2</v>
      </c>
      <c r="I45">
        <v>2.4077969137579198E-3</v>
      </c>
      <c r="J45">
        <v>6.8326666951179496E-3</v>
      </c>
      <c r="K45">
        <v>0.107163280248642</v>
      </c>
      <c r="L45">
        <v>10999</v>
      </c>
      <c r="M45">
        <v>9.4140157103538513E-2</v>
      </c>
      <c r="N45">
        <v>1.0000000000000001E-5</v>
      </c>
      <c r="O45">
        <v>3656.9042153358459</v>
      </c>
    </row>
    <row r="46" spans="1:15" x14ac:dyDescent="0.3">
      <c r="A46">
        <v>12000</v>
      </c>
      <c r="B46">
        <v>3</v>
      </c>
      <c r="C46" t="s">
        <v>25</v>
      </c>
      <c r="D46" t="s">
        <v>26</v>
      </c>
      <c r="E46" t="s">
        <v>54</v>
      </c>
      <c r="F46" t="s">
        <v>55</v>
      </c>
      <c r="G46">
        <v>0.10695904493331911</v>
      </c>
      <c r="H46">
        <v>6.1958961188793182E-2</v>
      </c>
      <c r="I46">
        <v>2.2445979993790388E-3</v>
      </c>
      <c r="J46">
        <v>6.7554195411503306E-3</v>
      </c>
      <c r="K46">
        <v>0.10044032335281371</v>
      </c>
      <c r="L46">
        <v>11950</v>
      </c>
      <c r="M46">
        <v>9.086327999830246E-2</v>
      </c>
      <c r="N46">
        <v>1.0000000000000001E-5</v>
      </c>
      <c r="O46">
        <v>3995.162052154541</v>
      </c>
    </row>
    <row r="47" spans="1:15" x14ac:dyDescent="0.3">
      <c r="A47">
        <v>13000</v>
      </c>
      <c r="B47">
        <v>3</v>
      </c>
      <c r="C47" t="s">
        <v>25</v>
      </c>
      <c r="D47" t="s">
        <v>26</v>
      </c>
      <c r="E47" t="s">
        <v>54</v>
      </c>
      <c r="F47" t="s">
        <v>55</v>
      </c>
      <c r="G47">
        <v>0.1060172319412231</v>
      </c>
      <c r="H47">
        <v>6.4285635948181152E-2</v>
      </c>
      <c r="I47">
        <v>2.0227113272994761E-3</v>
      </c>
      <c r="J47">
        <v>6.3236071728169918E-3</v>
      </c>
      <c r="K47">
        <v>8.864295482635498E-2</v>
      </c>
      <c r="L47">
        <v>12923</v>
      </c>
      <c r="M47">
        <v>8.9980363845825195E-2</v>
      </c>
      <c r="N47">
        <v>1.0000000000000001E-5</v>
      </c>
      <c r="O47">
        <v>4334.2215304374686</v>
      </c>
    </row>
    <row r="48" spans="1:15" x14ac:dyDescent="0.3">
      <c r="A48">
        <v>14000</v>
      </c>
      <c r="B48">
        <v>3</v>
      </c>
      <c r="C48" t="s">
        <v>25</v>
      </c>
      <c r="D48" t="s">
        <v>26</v>
      </c>
      <c r="E48" t="s">
        <v>54</v>
      </c>
      <c r="F48" t="s">
        <v>55</v>
      </c>
      <c r="G48">
        <v>8.1523329019546509E-2</v>
      </c>
      <c r="H48">
        <v>4.2050678282976151E-2</v>
      </c>
      <c r="I48">
        <v>1.931293867528439E-3</v>
      </c>
      <c r="J48">
        <v>5.9632356278598309E-3</v>
      </c>
      <c r="K48">
        <v>7.906419038772583E-2</v>
      </c>
      <c r="L48">
        <v>13931</v>
      </c>
      <c r="M48">
        <v>8.3397418260574341E-2</v>
      </c>
      <c r="N48">
        <v>1.0000000000000001E-5</v>
      </c>
      <c r="O48">
        <v>4679.1273612976074</v>
      </c>
    </row>
    <row r="49" spans="1:15" x14ac:dyDescent="0.3">
      <c r="A49">
        <v>15000</v>
      </c>
      <c r="B49">
        <v>3</v>
      </c>
      <c r="C49" t="s">
        <v>25</v>
      </c>
      <c r="D49" t="s">
        <v>26</v>
      </c>
      <c r="E49" t="s">
        <v>54</v>
      </c>
      <c r="F49" t="s">
        <v>55</v>
      </c>
      <c r="G49">
        <v>0.22049409151077271</v>
      </c>
      <c r="H49">
        <v>0.17245012521743769</v>
      </c>
      <c r="I49">
        <v>2.8043352067470551E-3</v>
      </c>
      <c r="J49">
        <v>6.8044569343328476E-3</v>
      </c>
      <c r="K49">
        <v>7.0654250681400299E-2</v>
      </c>
      <c r="L49">
        <v>14920</v>
      </c>
      <c r="M49">
        <v>9.3929149210453033E-2</v>
      </c>
      <c r="N49">
        <v>1.0000000000000001E-5</v>
      </c>
      <c r="O49">
        <v>5019.3918840885162</v>
      </c>
    </row>
    <row r="50" spans="1:15" x14ac:dyDescent="0.3">
      <c r="A50">
        <v>1</v>
      </c>
      <c r="B50">
        <v>4</v>
      </c>
      <c r="C50" t="s">
        <v>25</v>
      </c>
      <c r="D50" t="s">
        <v>26</v>
      </c>
      <c r="E50" t="s">
        <v>54</v>
      </c>
      <c r="F50" t="s">
        <v>55</v>
      </c>
      <c r="G50">
        <v>35.071380615234382</v>
      </c>
      <c r="H50">
        <v>7.2483351686969399E-4</v>
      </c>
      <c r="I50">
        <v>6.2498512268066406</v>
      </c>
      <c r="J50">
        <v>0.76428008079528809</v>
      </c>
      <c r="K50">
        <v>35.071380615234382</v>
      </c>
      <c r="L50">
        <v>1</v>
      </c>
      <c r="M50">
        <v>0.99991810321807861</v>
      </c>
      <c r="N50">
        <v>1.0000000000000001E-5</v>
      </c>
      <c r="O50">
        <v>0.58078217506408691</v>
      </c>
    </row>
    <row r="51" spans="1:15" x14ac:dyDescent="0.3">
      <c r="A51">
        <v>1000</v>
      </c>
      <c r="B51">
        <v>4</v>
      </c>
      <c r="C51" t="s">
        <v>25</v>
      </c>
      <c r="D51" t="s">
        <v>26</v>
      </c>
      <c r="E51" t="s">
        <v>54</v>
      </c>
      <c r="F51" t="s">
        <v>55</v>
      </c>
      <c r="G51">
        <v>4.4860196113586426</v>
      </c>
      <c r="H51">
        <v>0.6314353346824646</v>
      </c>
      <c r="I51">
        <v>0.61630791425704956</v>
      </c>
      <c r="J51">
        <v>0.15460893511772161</v>
      </c>
      <c r="K51">
        <v>4.4860196113586426</v>
      </c>
      <c r="L51">
        <v>1000</v>
      </c>
      <c r="M51">
        <v>0.48885831236839289</v>
      </c>
      <c r="N51">
        <v>1.0000000000000001E-5</v>
      </c>
      <c r="O51">
        <v>358.61852312088013</v>
      </c>
    </row>
    <row r="52" spans="1:15" x14ac:dyDescent="0.3">
      <c r="A52">
        <v>2000</v>
      </c>
      <c r="B52">
        <v>4</v>
      </c>
      <c r="C52" t="s">
        <v>25</v>
      </c>
      <c r="D52" t="s">
        <v>26</v>
      </c>
      <c r="E52" t="s">
        <v>54</v>
      </c>
      <c r="F52" t="s">
        <v>55</v>
      </c>
      <c r="G52">
        <v>0.54416358470916748</v>
      </c>
      <c r="H52">
        <v>0.26175171136856079</v>
      </c>
      <c r="I52">
        <v>2.4642143398523331E-2</v>
      </c>
      <c r="J52">
        <v>3.184022381901741E-2</v>
      </c>
      <c r="K52">
        <v>0.54416358470916748</v>
      </c>
      <c r="L52">
        <v>2000</v>
      </c>
      <c r="M52">
        <v>0.2090935409069061</v>
      </c>
      <c r="N52">
        <v>1.0000000000000001E-5</v>
      </c>
      <c r="O52">
        <v>719.59538149833679</v>
      </c>
    </row>
    <row r="53" spans="1:15" x14ac:dyDescent="0.3">
      <c r="A53">
        <v>3000</v>
      </c>
      <c r="B53">
        <v>4</v>
      </c>
      <c r="C53" t="s">
        <v>25</v>
      </c>
      <c r="D53" t="s">
        <v>26</v>
      </c>
      <c r="E53" t="s">
        <v>54</v>
      </c>
      <c r="F53" t="s">
        <v>55</v>
      </c>
      <c r="G53">
        <v>0.41288214921951288</v>
      </c>
      <c r="H53">
        <v>0.1794566214084625</v>
      </c>
      <c r="I53">
        <v>1.9464889541268349E-2</v>
      </c>
      <c r="J53">
        <v>2.7220215648412701E-2</v>
      </c>
      <c r="K53">
        <v>0.41288214921951288</v>
      </c>
      <c r="L53">
        <v>3000</v>
      </c>
      <c r="M53">
        <v>0.17641131579875949</v>
      </c>
      <c r="N53">
        <v>1.0000000000000001E-5</v>
      </c>
      <c r="O53">
        <v>1078.611629724503</v>
      </c>
    </row>
    <row r="54" spans="1:15" x14ac:dyDescent="0.3">
      <c r="A54">
        <v>4000</v>
      </c>
      <c r="B54">
        <v>4</v>
      </c>
      <c r="C54" t="s">
        <v>25</v>
      </c>
      <c r="D54" t="s">
        <v>26</v>
      </c>
      <c r="E54" t="s">
        <v>54</v>
      </c>
      <c r="F54" t="s">
        <v>55</v>
      </c>
      <c r="G54">
        <v>0.37902873754501343</v>
      </c>
      <c r="H54">
        <v>0.16581577062606809</v>
      </c>
      <c r="I54">
        <v>1.789897866547108E-2</v>
      </c>
      <c r="J54">
        <v>2.474362030625343E-2</v>
      </c>
      <c r="K54">
        <v>0.37902873754501343</v>
      </c>
      <c r="L54">
        <v>4000</v>
      </c>
      <c r="M54">
        <v>0.167565181851387</v>
      </c>
      <c r="N54">
        <v>1.0000000000000001E-5</v>
      </c>
      <c r="O54">
        <v>1436.1652398109441</v>
      </c>
    </row>
    <row r="55" spans="1:15" x14ac:dyDescent="0.3">
      <c r="A55">
        <v>5000</v>
      </c>
      <c r="B55">
        <v>4</v>
      </c>
      <c r="C55" t="s">
        <v>25</v>
      </c>
      <c r="D55" t="s">
        <v>26</v>
      </c>
      <c r="E55" t="s">
        <v>54</v>
      </c>
      <c r="F55" t="s">
        <v>55</v>
      </c>
      <c r="G55">
        <v>0.35700893402099609</v>
      </c>
      <c r="H55">
        <v>0.15911853313446039</v>
      </c>
      <c r="I55">
        <v>1.6742147505283359E-2</v>
      </c>
      <c r="J55">
        <v>2.283593267202377E-2</v>
      </c>
      <c r="K55">
        <v>0.35700893402099609</v>
      </c>
      <c r="L55">
        <v>5000</v>
      </c>
      <c r="M55">
        <v>0.1627872437238693</v>
      </c>
      <c r="N55">
        <v>1.0000000000000001E-5</v>
      </c>
      <c r="O55">
        <v>1794.021961212158</v>
      </c>
    </row>
    <row r="56" spans="1:15" x14ac:dyDescent="0.3">
      <c r="A56">
        <v>6000</v>
      </c>
      <c r="B56">
        <v>4</v>
      </c>
      <c r="C56" t="s">
        <v>25</v>
      </c>
      <c r="D56" t="s">
        <v>26</v>
      </c>
      <c r="E56" t="s">
        <v>54</v>
      </c>
      <c r="F56" t="s">
        <v>55</v>
      </c>
      <c r="G56">
        <v>0.3087303638458252</v>
      </c>
      <c r="H56">
        <v>0.14887675642967221</v>
      </c>
      <c r="I56">
        <v>1.5113828703761101E-2</v>
      </c>
      <c r="J56">
        <v>1.685689389705658E-2</v>
      </c>
      <c r="K56">
        <v>0.3087303638458252</v>
      </c>
      <c r="L56">
        <v>6000</v>
      </c>
      <c r="M56">
        <v>0.15197235345840451</v>
      </c>
      <c r="N56">
        <v>1.0000000000000001E-5</v>
      </c>
      <c r="O56">
        <v>2147.313295841217</v>
      </c>
    </row>
    <row r="57" spans="1:15" x14ac:dyDescent="0.3">
      <c r="A57">
        <v>7000</v>
      </c>
      <c r="B57">
        <v>4</v>
      </c>
      <c r="C57" t="s">
        <v>25</v>
      </c>
      <c r="D57" t="s">
        <v>26</v>
      </c>
      <c r="E57" t="s">
        <v>54</v>
      </c>
      <c r="F57" t="s">
        <v>55</v>
      </c>
      <c r="G57">
        <v>0.22857978940010071</v>
      </c>
      <c r="H57">
        <v>0.1129333525896072</v>
      </c>
      <c r="I57">
        <v>1.115016266703606E-2</v>
      </c>
      <c r="J57">
        <v>1.19791254401207E-2</v>
      </c>
      <c r="K57">
        <v>0.22857978940010071</v>
      </c>
      <c r="L57">
        <v>7000</v>
      </c>
      <c r="M57">
        <v>0.1277344822883606</v>
      </c>
      <c r="N57">
        <v>1.0000000000000001E-5</v>
      </c>
      <c r="O57">
        <v>2500.1843223571782</v>
      </c>
    </row>
    <row r="58" spans="1:15" x14ac:dyDescent="0.3">
      <c r="A58">
        <v>8000</v>
      </c>
      <c r="B58">
        <v>4</v>
      </c>
      <c r="C58" t="s">
        <v>25</v>
      </c>
      <c r="D58" t="s">
        <v>26</v>
      </c>
      <c r="E58" t="s">
        <v>54</v>
      </c>
      <c r="F58" t="s">
        <v>55</v>
      </c>
      <c r="G58">
        <v>0.18496052920818329</v>
      </c>
      <c r="H58">
        <v>8.885154128074646E-2</v>
      </c>
      <c r="I58">
        <v>8.3884317427873611E-3</v>
      </c>
      <c r="J58">
        <v>1.083336770534515E-2</v>
      </c>
      <c r="K58">
        <v>0.18400768935680389</v>
      </c>
      <c r="L58">
        <v>7997</v>
      </c>
      <c r="M58">
        <v>0.1168680787086487</v>
      </c>
      <c r="N58">
        <v>1.0000000000000001E-5</v>
      </c>
      <c r="O58">
        <v>2840.69247174263</v>
      </c>
    </row>
    <row r="59" spans="1:15" x14ac:dyDescent="0.3">
      <c r="A59">
        <v>9000</v>
      </c>
      <c r="B59">
        <v>4</v>
      </c>
      <c r="C59" t="s">
        <v>25</v>
      </c>
      <c r="D59" t="s">
        <v>26</v>
      </c>
      <c r="E59" t="s">
        <v>54</v>
      </c>
      <c r="F59" t="s">
        <v>55</v>
      </c>
      <c r="G59">
        <v>0.1965708136558533</v>
      </c>
      <c r="H59">
        <v>0.10292989015579219</v>
      </c>
      <c r="I59">
        <v>8.5416445508599281E-3</v>
      </c>
      <c r="J59">
        <v>1.018654275685549E-2</v>
      </c>
      <c r="K59">
        <v>0.18280573189258581</v>
      </c>
      <c r="L59">
        <v>8018</v>
      </c>
      <c r="M59">
        <v>0.1200419589877129</v>
      </c>
      <c r="N59">
        <v>1.0000000000000001E-5</v>
      </c>
      <c r="O59">
        <v>3175.630126714706</v>
      </c>
    </row>
    <row r="60" spans="1:15" x14ac:dyDescent="0.3">
      <c r="A60">
        <v>10000</v>
      </c>
      <c r="B60">
        <v>4</v>
      </c>
      <c r="C60" t="s">
        <v>25</v>
      </c>
      <c r="D60" t="s">
        <v>26</v>
      </c>
      <c r="E60" t="s">
        <v>54</v>
      </c>
      <c r="F60" t="s">
        <v>55</v>
      </c>
      <c r="G60">
        <v>0.17275369167327881</v>
      </c>
      <c r="H60">
        <v>9.083220362663269E-2</v>
      </c>
      <c r="I60">
        <v>7.0784306153655052E-3</v>
      </c>
      <c r="J60">
        <v>9.3058664351701736E-3</v>
      </c>
      <c r="K60">
        <v>0.16726729273796079</v>
      </c>
      <c r="L60">
        <v>9933</v>
      </c>
      <c r="M60">
        <v>0.112300917506218</v>
      </c>
      <c r="N60">
        <v>1.0000000000000001E-5</v>
      </c>
      <c r="O60">
        <v>3509.704800844193</v>
      </c>
    </row>
    <row r="61" spans="1:15" x14ac:dyDescent="0.3">
      <c r="A61">
        <v>11000</v>
      </c>
      <c r="B61">
        <v>4</v>
      </c>
      <c r="C61" t="s">
        <v>25</v>
      </c>
      <c r="D61" t="s">
        <v>26</v>
      </c>
      <c r="E61" t="s">
        <v>54</v>
      </c>
      <c r="F61" t="s">
        <v>55</v>
      </c>
      <c r="G61">
        <v>0.17885053157806399</v>
      </c>
      <c r="H61">
        <v>0.10698520392179491</v>
      </c>
      <c r="I61">
        <v>5.6297001428902149E-3</v>
      </c>
      <c r="J61">
        <v>8.7433652952313423E-3</v>
      </c>
      <c r="K61">
        <v>0.1441565603017807</v>
      </c>
      <c r="L61">
        <v>10521</v>
      </c>
      <c r="M61">
        <v>0.11104742437601089</v>
      </c>
      <c r="N61">
        <v>1.0000000000000001E-5</v>
      </c>
      <c r="O61">
        <v>3831.861825704575</v>
      </c>
    </row>
    <row r="62" spans="1:15" x14ac:dyDescent="0.3">
      <c r="A62">
        <v>12000</v>
      </c>
      <c r="B62">
        <v>4</v>
      </c>
      <c r="C62" t="s">
        <v>25</v>
      </c>
      <c r="D62" t="s">
        <v>26</v>
      </c>
      <c r="E62" t="s">
        <v>54</v>
      </c>
      <c r="F62" t="s">
        <v>55</v>
      </c>
      <c r="G62">
        <v>0.11497008055448529</v>
      </c>
      <c r="H62">
        <v>6.1376035213470459E-2</v>
      </c>
      <c r="I62">
        <v>3.2669783104211092E-3</v>
      </c>
      <c r="J62">
        <v>7.4518304318189621E-3</v>
      </c>
      <c r="K62">
        <v>0.11274731159210211</v>
      </c>
      <c r="L62">
        <v>11930</v>
      </c>
      <c r="M62">
        <v>0.1033917888998985</v>
      </c>
      <c r="N62">
        <v>1.0000000000000001E-5</v>
      </c>
      <c r="O62">
        <v>4168.1870622634888</v>
      </c>
    </row>
    <row r="63" spans="1:15" x14ac:dyDescent="0.3">
      <c r="A63">
        <v>13000</v>
      </c>
      <c r="B63">
        <v>4</v>
      </c>
      <c r="C63" t="s">
        <v>25</v>
      </c>
      <c r="D63" t="s">
        <v>26</v>
      </c>
      <c r="E63" t="s">
        <v>54</v>
      </c>
      <c r="F63" t="s">
        <v>55</v>
      </c>
      <c r="G63">
        <v>8.8428318500518799E-2</v>
      </c>
      <c r="H63">
        <v>4.1619114577770233E-2</v>
      </c>
      <c r="I63">
        <v>2.5809155777096748E-3</v>
      </c>
      <c r="J63">
        <v>6.7809256725013256E-3</v>
      </c>
      <c r="K63">
        <v>8.8428318500518799E-2</v>
      </c>
      <c r="L63">
        <v>13000</v>
      </c>
      <c r="M63">
        <v>9.5449015498161316E-2</v>
      </c>
      <c r="N63">
        <v>1.0000000000000001E-5</v>
      </c>
      <c r="O63">
        <v>4505.2708187103271</v>
      </c>
    </row>
    <row r="64" spans="1:15" x14ac:dyDescent="0.3">
      <c r="A64">
        <v>14000</v>
      </c>
      <c r="B64">
        <v>4</v>
      </c>
      <c r="C64" t="s">
        <v>25</v>
      </c>
      <c r="D64" t="s">
        <v>26</v>
      </c>
      <c r="E64" t="s">
        <v>54</v>
      </c>
      <c r="F64" t="s">
        <v>55</v>
      </c>
      <c r="G64">
        <v>7.9065129160881042E-2</v>
      </c>
      <c r="H64">
        <v>3.3789694309234619E-2</v>
      </c>
      <c r="I64">
        <v>2.3756057489663358E-3</v>
      </c>
      <c r="J64">
        <v>6.6794813610613346E-3</v>
      </c>
      <c r="K64">
        <v>7.5899653136730194E-2</v>
      </c>
      <c r="L64">
        <v>13912</v>
      </c>
      <c r="M64">
        <v>9.4400525093078613E-2</v>
      </c>
      <c r="N64">
        <v>1.0000000000000001E-5</v>
      </c>
      <c r="O64">
        <v>4839.2887651920319</v>
      </c>
    </row>
    <row r="65" spans="1:15" x14ac:dyDescent="0.3">
      <c r="A65">
        <v>15000</v>
      </c>
      <c r="B65">
        <v>4</v>
      </c>
      <c r="C65" t="s">
        <v>25</v>
      </c>
      <c r="D65" t="s">
        <v>26</v>
      </c>
      <c r="E65" t="s">
        <v>54</v>
      </c>
      <c r="F65" t="s">
        <v>55</v>
      </c>
      <c r="G65">
        <v>7.0052146911621094E-2</v>
      </c>
      <c r="H65">
        <v>2.7147462591528889E-2</v>
      </c>
      <c r="I65">
        <v>2.320712199434638E-3</v>
      </c>
      <c r="J65">
        <v>6.2602246180176726E-3</v>
      </c>
      <c r="K65">
        <v>6.8087190389633179E-2</v>
      </c>
      <c r="L65">
        <v>14987</v>
      </c>
      <c r="M65">
        <v>9.2860497534275055E-2</v>
      </c>
      <c r="N65">
        <v>1.0000000000000001E-5</v>
      </c>
      <c r="O65">
        <v>5180.0677661895752</v>
      </c>
    </row>
    <row r="66" spans="1:15" x14ac:dyDescent="0.3">
      <c r="A66">
        <v>1</v>
      </c>
      <c r="B66">
        <v>5</v>
      </c>
      <c r="C66" t="s">
        <v>25</v>
      </c>
      <c r="D66" t="s">
        <v>26</v>
      </c>
      <c r="E66" t="s">
        <v>54</v>
      </c>
      <c r="F66" t="s">
        <v>55</v>
      </c>
      <c r="G66">
        <v>35.099521636962891</v>
      </c>
      <c r="H66">
        <v>7.2447594720870256E-4</v>
      </c>
      <c r="I66">
        <v>6.2571988105773926</v>
      </c>
      <c r="J66">
        <v>0.76256036758422852</v>
      </c>
      <c r="K66">
        <v>35.099521636962891</v>
      </c>
      <c r="L66">
        <v>1</v>
      </c>
      <c r="M66">
        <v>1.000390887260437</v>
      </c>
      <c r="N66">
        <v>1.0000000000000001E-5</v>
      </c>
      <c r="O66">
        <v>0.57102656364440918</v>
      </c>
    </row>
    <row r="67" spans="1:15" x14ac:dyDescent="0.3">
      <c r="A67">
        <v>1000</v>
      </c>
      <c r="B67">
        <v>5</v>
      </c>
      <c r="C67" t="s">
        <v>25</v>
      </c>
      <c r="D67" t="s">
        <v>26</v>
      </c>
      <c r="E67" t="s">
        <v>54</v>
      </c>
      <c r="F67" t="s">
        <v>55</v>
      </c>
      <c r="G67">
        <v>6.3114356994628906</v>
      </c>
      <c r="H67">
        <v>0.60421556234359741</v>
      </c>
      <c r="I67">
        <v>0.81698209047317505</v>
      </c>
      <c r="J67">
        <v>0.32446187734603882</v>
      </c>
      <c r="K67">
        <v>6.3114356994628906</v>
      </c>
      <c r="L67">
        <v>1000</v>
      </c>
      <c r="M67">
        <v>0.52131402492523193</v>
      </c>
      <c r="N67">
        <v>1.0000000000000001E-5</v>
      </c>
      <c r="O67">
        <v>358.93505620956421</v>
      </c>
    </row>
    <row r="68" spans="1:15" x14ac:dyDescent="0.3">
      <c r="A68">
        <v>2000</v>
      </c>
      <c r="B68">
        <v>5</v>
      </c>
      <c r="C68" t="s">
        <v>25</v>
      </c>
      <c r="D68" t="s">
        <v>26</v>
      </c>
      <c r="E68" t="s">
        <v>54</v>
      </c>
      <c r="F68" t="s">
        <v>55</v>
      </c>
      <c r="G68">
        <v>0.83304291963577271</v>
      </c>
      <c r="H68">
        <v>0.44722425937652588</v>
      </c>
      <c r="I68">
        <v>4.5501444488763809E-2</v>
      </c>
      <c r="J68">
        <v>3.1662289053201682E-2</v>
      </c>
      <c r="K68">
        <v>0.83304291963577271</v>
      </c>
      <c r="L68">
        <v>2000</v>
      </c>
      <c r="M68">
        <v>0.26897230744361877</v>
      </c>
      <c r="N68">
        <v>1.0000000000000001E-5</v>
      </c>
      <c r="O68">
        <v>717.45418357849121</v>
      </c>
    </row>
    <row r="69" spans="1:15" x14ac:dyDescent="0.3">
      <c r="A69">
        <v>3000</v>
      </c>
      <c r="B69">
        <v>5</v>
      </c>
      <c r="C69" t="s">
        <v>25</v>
      </c>
      <c r="D69" t="s">
        <v>26</v>
      </c>
      <c r="E69" t="s">
        <v>54</v>
      </c>
      <c r="F69" t="s">
        <v>55</v>
      </c>
      <c r="G69">
        <v>0.45169892907142639</v>
      </c>
      <c r="H69">
        <v>0.21779011189937589</v>
      </c>
      <c r="I69">
        <v>2.3023080080747601E-2</v>
      </c>
      <c r="J69">
        <v>2.3758681491017342E-2</v>
      </c>
      <c r="K69">
        <v>0.45169892907142639</v>
      </c>
      <c r="L69">
        <v>3000</v>
      </c>
      <c r="M69">
        <v>0.18720313906669619</v>
      </c>
      <c r="N69">
        <v>1.0000000000000001E-5</v>
      </c>
      <c r="O69">
        <v>1051.6200175285339</v>
      </c>
    </row>
    <row r="70" spans="1:15" x14ac:dyDescent="0.3">
      <c r="A70">
        <v>4000</v>
      </c>
      <c r="B70">
        <v>5</v>
      </c>
      <c r="C70" t="s">
        <v>25</v>
      </c>
      <c r="D70" t="s">
        <v>26</v>
      </c>
      <c r="E70" t="s">
        <v>54</v>
      </c>
      <c r="F70" t="s">
        <v>55</v>
      </c>
      <c r="G70">
        <v>0.38015654683113098</v>
      </c>
      <c r="H70">
        <v>0.1729739308357239</v>
      </c>
      <c r="I70">
        <v>1.9204603508114811E-2</v>
      </c>
      <c r="J70">
        <v>2.223191782832146E-2</v>
      </c>
      <c r="K70">
        <v>0.38015654683113098</v>
      </c>
      <c r="L70">
        <v>4000</v>
      </c>
      <c r="M70">
        <v>0.16530504822731021</v>
      </c>
      <c r="N70">
        <v>1.0000000000000001E-5</v>
      </c>
      <c r="O70">
        <v>1288.1817195415499</v>
      </c>
    </row>
    <row r="71" spans="1:15" x14ac:dyDescent="0.3">
      <c r="A71">
        <v>5000</v>
      </c>
      <c r="B71">
        <v>5</v>
      </c>
      <c r="C71" t="s">
        <v>25</v>
      </c>
      <c r="D71" t="s">
        <v>26</v>
      </c>
      <c r="E71" t="s">
        <v>54</v>
      </c>
      <c r="F71" t="s">
        <v>55</v>
      </c>
      <c r="G71">
        <v>0.33819776773452759</v>
      </c>
      <c r="H71">
        <v>0.15994514524936679</v>
      </c>
      <c r="I71">
        <v>1.5888990834355351E-2</v>
      </c>
      <c r="J71">
        <v>1.976153627038002E-2</v>
      </c>
      <c r="K71">
        <v>0.33819776773452759</v>
      </c>
      <c r="L71">
        <v>5000</v>
      </c>
      <c r="M71">
        <v>0.15504391491413119</v>
      </c>
      <c r="N71">
        <v>1.0000000000000001E-5</v>
      </c>
      <c r="O71">
        <v>1527.98159122467</v>
      </c>
    </row>
    <row r="72" spans="1:15" x14ac:dyDescent="0.3">
      <c r="A72">
        <v>6000</v>
      </c>
      <c r="B72">
        <v>5</v>
      </c>
      <c r="C72" t="s">
        <v>25</v>
      </c>
      <c r="D72" t="s">
        <v>26</v>
      </c>
      <c r="E72" t="s">
        <v>54</v>
      </c>
      <c r="F72" t="s">
        <v>55</v>
      </c>
      <c r="G72">
        <v>0.30671903491020203</v>
      </c>
      <c r="H72">
        <v>0.1560140252113342</v>
      </c>
      <c r="I72">
        <v>1.2901663780212401E-2</v>
      </c>
      <c r="J72">
        <v>1.7239337787032131E-2</v>
      </c>
      <c r="K72">
        <v>0.30671903491020203</v>
      </c>
      <c r="L72">
        <v>6000</v>
      </c>
      <c r="M72">
        <v>0.14909191429615021</v>
      </c>
      <c r="N72">
        <v>1.0000000000000001E-5</v>
      </c>
      <c r="O72">
        <v>1768.3689961433411</v>
      </c>
    </row>
    <row r="73" spans="1:15" x14ac:dyDescent="0.3">
      <c r="A73">
        <v>7000</v>
      </c>
      <c r="B73">
        <v>5</v>
      </c>
      <c r="C73" t="s">
        <v>25</v>
      </c>
      <c r="D73" t="s">
        <v>26</v>
      </c>
      <c r="E73" t="s">
        <v>54</v>
      </c>
      <c r="F73" t="s">
        <v>55</v>
      </c>
      <c r="G73">
        <v>0.24576276540756231</v>
      </c>
      <c r="H73">
        <v>0.1346682608127594</v>
      </c>
      <c r="I73">
        <v>8.283127099275589E-3</v>
      </c>
      <c r="J73">
        <v>1.3935773633420471E-2</v>
      </c>
      <c r="K73">
        <v>0.24447780847549441</v>
      </c>
      <c r="L73">
        <v>6958</v>
      </c>
      <c r="M73">
        <v>0.12621703743934631</v>
      </c>
      <c r="N73">
        <v>1.0000000000000001E-5</v>
      </c>
      <c r="O73">
        <v>2002.147502422333</v>
      </c>
    </row>
    <row r="74" spans="1:15" x14ac:dyDescent="0.3">
      <c r="A74">
        <v>8000</v>
      </c>
      <c r="B74">
        <v>5</v>
      </c>
      <c r="C74" t="s">
        <v>25</v>
      </c>
      <c r="D74" t="s">
        <v>26</v>
      </c>
      <c r="E74" t="s">
        <v>54</v>
      </c>
      <c r="F74" t="s">
        <v>55</v>
      </c>
      <c r="G74">
        <v>0.20553021132946009</v>
      </c>
      <c r="H74">
        <v>0.1134238317608833</v>
      </c>
      <c r="I74">
        <v>6.2145772390067577E-3</v>
      </c>
      <c r="J74">
        <v>1.220669690519571E-2</v>
      </c>
      <c r="K74">
        <v>0.20489723980426791</v>
      </c>
      <c r="L74">
        <v>7984</v>
      </c>
      <c r="M74">
        <v>0.112412802875042</v>
      </c>
      <c r="N74">
        <v>1.0000000000000001E-5</v>
      </c>
      <c r="O74">
        <v>2233.4598560333252</v>
      </c>
    </row>
    <row r="75" spans="1:15" x14ac:dyDescent="0.3">
      <c r="A75">
        <v>9000</v>
      </c>
      <c r="B75">
        <v>5</v>
      </c>
      <c r="C75" t="s">
        <v>25</v>
      </c>
      <c r="D75" t="s">
        <v>26</v>
      </c>
      <c r="E75" t="s">
        <v>54</v>
      </c>
      <c r="F75" t="s">
        <v>55</v>
      </c>
      <c r="G75">
        <v>0.1643467843532562</v>
      </c>
      <c r="H75">
        <v>8.4309615194797516E-2</v>
      </c>
      <c r="I75">
        <v>4.2909863404929638E-3</v>
      </c>
      <c r="J75">
        <v>1.1716446839272979E-2</v>
      </c>
      <c r="K75">
        <v>0.1634574681520462</v>
      </c>
      <c r="L75">
        <v>8995</v>
      </c>
      <c r="M75">
        <v>0.10070190578699111</v>
      </c>
      <c r="N75">
        <v>1.0000000000000001E-5</v>
      </c>
      <c r="O75">
        <v>2464.8968181610112</v>
      </c>
    </row>
    <row r="76" spans="1:15" x14ac:dyDescent="0.3">
      <c r="A76">
        <v>10000</v>
      </c>
      <c r="B76">
        <v>5</v>
      </c>
      <c r="C76" t="s">
        <v>25</v>
      </c>
      <c r="D76" t="s">
        <v>26</v>
      </c>
      <c r="E76" t="s">
        <v>54</v>
      </c>
      <c r="F76" t="s">
        <v>55</v>
      </c>
      <c r="G76">
        <v>0.1225200444459915</v>
      </c>
      <c r="H76">
        <v>5.8172203600406647E-2</v>
      </c>
      <c r="I76">
        <v>2.5769555941224098E-3</v>
      </c>
      <c r="J76">
        <v>1.029261294752359E-2</v>
      </c>
      <c r="K76">
        <v>0.1220908910036087</v>
      </c>
      <c r="L76">
        <v>9995</v>
      </c>
      <c r="M76">
        <v>9.0319737792015076E-2</v>
      </c>
      <c r="N76">
        <v>1.0000000000000001E-5</v>
      </c>
      <c r="O76">
        <v>2695.530724048615</v>
      </c>
    </row>
    <row r="77" spans="1:15" x14ac:dyDescent="0.3">
      <c r="A77">
        <v>11000</v>
      </c>
      <c r="B77">
        <v>5</v>
      </c>
      <c r="C77" t="s">
        <v>25</v>
      </c>
      <c r="D77" t="s">
        <v>26</v>
      </c>
      <c r="E77" t="s">
        <v>54</v>
      </c>
      <c r="F77" t="s">
        <v>55</v>
      </c>
      <c r="G77">
        <v>0.11051672697067259</v>
      </c>
      <c r="H77">
        <v>5.4089099168777473E-2</v>
      </c>
      <c r="I77">
        <v>2.0514656789600849E-3</v>
      </c>
      <c r="J77">
        <v>9.2340605333447456E-3</v>
      </c>
      <c r="K77">
        <v>0.10720418393611909</v>
      </c>
      <c r="L77">
        <v>10922</v>
      </c>
      <c r="M77">
        <v>8.5939213633537292E-2</v>
      </c>
      <c r="N77">
        <v>1.0000000000000001E-5</v>
      </c>
      <c r="O77">
        <v>2926.118031263351</v>
      </c>
    </row>
    <row r="78" spans="1:15" x14ac:dyDescent="0.3">
      <c r="A78">
        <v>12000</v>
      </c>
      <c r="B78">
        <v>5</v>
      </c>
      <c r="C78" t="s">
        <v>25</v>
      </c>
      <c r="D78" t="s">
        <v>26</v>
      </c>
      <c r="E78" t="s">
        <v>54</v>
      </c>
      <c r="F78" t="s">
        <v>55</v>
      </c>
      <c r="G78">
        <v>9.5651879906654358E-2</v>
      </c>
      <c r="H78">
        <v>4.4340237975120537E-2</v>
      </c>
      <c r="I78">
        <v>2.4728667922317982E-3</v>
      </c>
      <c r="J78">
        <v>7.7894618734717369E-3</v>
      </c>
      <c r="K78">
        <v>9.5394790172576904E-2</v>
      </c>
      <c r="L78">
        <v>11989</v>
      </c>
      <c r="M78">
        <v>8.2833223044872284E-2</v>
      </c>
      <c r="N78">
        <v>1.0000000000000001E-5</v>
      </c>
      <c r="O78">
        <v>3155.110809803009</v>
      </c>
    </row>
    <row r="79" spans="1:15" x14ac:dyDescent="0.3">
      <c r="A79">
        <v>13000</v>
      </c>
      <c r="B79">
        <v>5</v>
      </c>
      <c r="C79" t="s">
        <v>25</v>
      </c>
      <c r="D79" t="s">
        <v>26</v>
      </c>
      <c r="E79" t="s">
        <v>54</v>
      </c>
      <c r="F79" t="s">
        <v>55</v>
      </c>
      <c r="G79">
        <v>8.6316846311092377E-2</v>
      </c>
      <c r="H79">
        <v>3.6331161856651313E-2</v>
      </c>
      <c r="I79">
        <v>2.131613669916987E-3</v>
      </c>
      <c r="J79">
        <v>7.865522988140583E-3</v>
      </c>
      <c r="K79">
        <v>8.6316846311092377E-2</v>
      </c>
      <c r="L79">
        <v>13000</v>
      </c>
      <c r="M79">
        <v>8.0751955509185791E-2</v>
      </c>
      <c r="N79">
        <v>1.0000000000000001E-5</v>
      </c>
      <c r="O79">
        <v>3381.891625642776</v>
      </c>
    </row>
    <row r="80" spans="1:15" x14ac:dyDescent="0.3">
      <c r="A80">
        <v>14000</v>
      </c>
      <c r="B80">
        <v>5</v>
      </c>
      <c r="C80" t="s">
        <v>25</v>
      </c>
      <c r="D80" t="s">
        <v>26</v>
      </c>
      <c r="E80" t="s">
        <v>54</v>
      </c>
      <c r="F80" t="s">
        <v>55</v>
      </c>
      <c r="G80">
        <v>7.8284800052642822E-2</v>
      </c>
      <c r="H80">
        <v>3.1761322170495987E-2</v>
      </c>
      <c r="I80">
        <v>2.194397384300828E-3</v>
      </c>
      <c r="J80">
        <v>7.110299076884985E-3</v>
      </c>
      <c r="K80">
        <v>7.8284800052642822E-2</v>
      </c>
      <c r="L80">
        <v>14000</v>
      </c>
      <c r="M80">
        <v>7.9307220876216888E-2</v>
      </c>
      <c r="N80">
        <v>1.0000000000000001E-5</v>
      </c>
      <c r="O80">
        <v>3609.8631143569951</v>
      </c>
    </row>
    <row r="81" spans="1:15" x14ac:dyDescent="0.3">
      <c r="A81">
        <v>15000</v>
      </c>
      <c r="B81">
        <v>5</v>
      </c>
      <c r="C81" t="s">
        <v>25</v>
      </c>
      <c r="D81" t="s">
        <v>26</v>
      </c>
      <c r="E81" t="s">
        <v>54</v>
      </c>
      <c r="F81" t="s">
        <v>55</v>
      </c>
      <c r="G81">
        <v>7.6203823089599609E-2</v>
      </c>
      <c r="H81">
        <v>3.1389854848384857E-2</v>
      </c>
      <c r="I81">
        <v>2.0110541954636569E-3</v>
      </c>
      <c r="J81">
        <v>6.9517395459115514E-3</v>
      </c>
      <c r="K81">
        <v>7.4127018451690674E-2</v>
      </c>
      <c r="L81">
        <v>14956</v>
      </c>
      <c r="M81">
        <v>7.8566096723079681E-2</v>
      </c>
      <c r="N81">
        <v>1.0000000000000001E-5</v>
      </c>
      <c r="O81">
        <v>3838.665491104126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7"/>
  <sheetViews>
    <sheetView workbookViewId="0"/>
  </sheetViews>
  <sheetFormatPr defaultRowHeight="16.5" x14ac:dyDescent="0.3"/>
  <sheetData>
    <row r="1" spans="1:2" x14ac:dyDescent="0.3">
      <c r="A1" t="s">
        <v>56</v>
      </c>
      <c r="B1" t="s">
        <v>57</v>
      </c>
    </row>
    <row r="2" spans="1:2" x14ac:dyDescent="0.3">
      <c r="A2" t="s">
        <v>1</v>
      </c>
      <c r="B2" t="s">
        <v>25</v>
      </c>
    </row>
    <row r="3" spans="1:2" x14ac:dyDescent="0.3">
      <c r="A3" t="s">
        <v>58</v>
      </c>
      <c r="B3" t="s">
        <v>59</v>
      </c>
    </row>
    <row r="4" spans="1:2" x14ac:dyDescent="0.3">
      <c r="A4" t="s">
        <v>60</v>
      </c>
      <c r="B4" t="s">
        <v>61</v>
      </c>
    </row>
    <row r="5" spans="1:2" x14ac:dyDescent="0.3">
      <c r="A5" t="s">
        <v>62</v>
      </c>
      <c r="B5" t="s">
        <v>63</v>
      </c>
    </row>
    <row r="6" spans="1:2" x14ac:dyDescent="0.3">
      <c r="A6" t="s">
        <v>64</v>
      </c>
      <c r="B6" t="s">
        <v>65</v>
      </c>
    </row>
    <row r="7" spans="1:2" x14ac:dyDescent="0.3">
      <c r="A7" t="s">
        <v>66</v>
      </c>
      <c r="B7" t="s">
        <v>67</v>
      </c>
    </row>
    <row r="8" spans="1:2" x14ac:dyDescent="0.3">
      <c r="A8" t="s">
        <v>68</v>
      </c>
      <c r="B8" t="s">
        <v>63</v>
      </c>
    </row>
    <row r="9" spans="1:2" x14ac:dyDescent="0.3">
      <c r="A9" t="s">
        <v>69</v>
      </c>
      <c r="B9" t="s">
        <v>70</v>
      </c>
    </row>
    <row r="10" spans="1:2" x14ac:dyDescent="0.3">
      <c r="A10" t="s">
        <v>48</v>
      </c>
      <c r="B10" t="s">
        <v>71</v>
      </c>
    </row>
    <row r="11" spans="1:2" x14ac:dyDescent="0.3">
      <c r="A11" t="s">
        <v>72</v>
      </c>
      <c r="B11" t="s">
        <v>73</v>
      </c>
    </row>
    <row r="12" spans="1:2" x14ac:dyDescent="0.3">
      <c r="A12" t="s">
        <v>74</v>
      </c>
      <c r="B12" t="s">
        <v>61</v>
      </c>
    </row>
    <row r="13" spans="1:2" x14ac:dyDescent="0.3">
      <c r="A13" t="s">
        <v>75</v>
      </c>
      <c r="B13" t="s">
        <v>76</v>
      </c>
    </row>
    <row r="14" spans="1:2" x14ac:dyDescent="0.3">
      <c r="A14" t="s">
        <v>77</v>
      </c>
      <c r="B14" t="s">
        <v>78</v>
      </c>
    </row>
    <row r="15" spans="1:2" x14ac:dyDescent="0.3">
      <c r="A15" t="s">
        <v>79</v>
      </c>
      <c r="B15" t="s">
        <v>61</v>
      </c>
    </row>
    <row r="16" spans="1:2" x14ac:dyDescent="0.3">
      <c r="A16" t="s">
        <v>80</v>
      </c>
      <c r="B16" t="s">
        <v>61</v>
      </c>
    </row>
    <row r="17" spans="1:2" x14ac:dyDescent="0.3">
      <c r="A17" t="s">
        <v>81</v>
      </c>
      <c r="B17" t="s">
        <v>82</v>
      </c>
    </row>
    <row r="18" spans="1:2" x14ac:dyDescent="0.3">
      <c r="A18" t="s">
        <v>83</v>
      </c>
      <c r="B18" t="s">
        <v>84</v>
      </c>
    </row>
    <row r="19" spans="1:2" x14ac:dyDescent="0.3">
      <c r="A19" t="s">
        <v>85</v>
      </c>
      <c r="B19" t="s">
        <v>84</v>
      </c>
    </row>
    <row r="20" spans="1:2" x14ac:dyDescent="0.3">
      <c r="A20" t="s">
        <v>86</v>
      </c>
      <c r="B20" t="s">
        <v>87</v>
      </c>
    </row>
    <row r="21" spans="1:2" x14ac:dyDescent="0.3">
      <c r="A21" t="s">
        <v>88</v>
      </c>
      <c r="B21" t="s">
        <v>89</v>
      </c>
    </row>
    <row r="22" spans="1:2" x14ac:dyDescent="0.3">
      <c r="A22" t="s">
        <v>14</v>
      </c>
      <c r="B22" t="s">
        <v>90</v>
      </c>
    </row>
    <row r="23" spans="1:2" x14ac:dyDescent="0.3">
      <c r="A23" t="s">
        <v>91</v>
      </c>
      <c r="B23" t="s">
        <v>92</v>
      </c>
    </row>
    <row r="24" spans="1:2" x14ac:dyDescent="0.3">
      <c r="A24" t="s">
        <v>15</v>
      </c>
      <c r="B24" t="s">
        <v>90</v>
      </c>
    </row>
    <row r="25" spans="1:2" x14ac:dyDescent="0.3">
      <c r="A25" t="s">
        <v>93</v>
      </c>
    </row>
    <row r="26" spans="1:2" x14ac:dyDescent="0.3">
      <c r="A26" t="s">
        <v>94</v>
      </c>
      <c r="B26" t="s">
        <v>95</v>
      </c>
    </row>
    <row r="27" spans="1:2" x14ac:dyDescent="0.3">
      <c r="A27" t="s">
        <v>96</v>
      </c>
      <c r="B27" t="s">
        <v>97</v>
      </c>
    </row>
    <row r="28" spans="1:2" x14ac:dyDescent="0.3">
      <c r="A28" t="s">
        <v>98</v>
      </c>
      <c r="B28" t="s">
        <v>99</v>
      </c>
    </row>
    <row r="29" spans="1:2" x14ac:dyDescent="0.3">
      <c r="A29" t="s">
        <v>100</v>
      </c>
      <c r="B29" t="s">
        <v>67</v>
      </c>
    </row>
    <row r="30" spans="1:2" x14ac:dyDescent="0.3">
      <c r="A30" t="s">
        <v>101</v>
      </c>
      <c r="B30" t="s">
        <v>102</v>
      </c>
    </row>
    <row r="31" spans="1:2" x14ac:dyDescent="0.3">
      <c r="A31" t="s">
        <v>103</v>
      </c>
      <c r="B31" t="s">
        <v>104</v>
      </c>
    </row>
    <row r="32" spans="1:2" x14ac:dyDescent="0.3">
      <c r="A32" t="s">
        <v>105</v>
      </c>
      <c r="B32" t="s">
        <v>106</v>
      </c>
    </row>
    <row r="33" spans="1:2" x14ac:dyDescent="0.3">
      <c r="A33" t="s">
        <v>107</v>
      </c>
      <c r="B33" t="s">
        <v>108</v>
      </c>
    </row>
    <row r="34" spans="1:2" x14ac:dyDescent="0.3">
      <c r="A34" t="s">
        <v>109</v>
      </c>
      <c r="B34" t="s">
        <v>110</v>
      </c>
    </row>
    <row r="35" spans="1:2" x14ac:dyDescent="0.3">
      <c r="A35" t="s">
        <v>111</v>
      </c>
      <c r="B35" t="s">
        <v>61</v>
      </c>
    </row>
    <row r="36" spans="1:2" x14ac:dyDescent="0.3">
      <c r="A36" t="s">
        <v>16</v>
      </c>
      <c r="B36" t="s">
        <v>61</v>
      </c>
    </row>
    <row r="37" spans="1:2" x14ac:dyDescent="0.3">
      <c r="A37" t="s">
        <v>112</v>
      </c>
      <c r="B37" t="s">
        <v>113</v>
      </c>
    </row>
    <row r="38" spans="1:2" x14ac:dyDescent="0.3">
      <c r="A38" t="s">
        <v>17</v>
      </c>
      <c r="B38" t="s">
        <v>61</v>
      </c>
    </row>
    <row r="39" spans="1:2" x14ac:dyDescent="0.3">
      <c r="A39" t="s">
        <v>18</v>
      </c>
      <c r="B39" t="s">
        <v>114</v>
      </c>
    </row>
    <row r="40" spans="1:2" x14ac:dyDescent="0.3">
      <c r="A40" t="s">
        <v>115</v>
      </c>
      <c r="B40" t="s">
        <v>116</v>
      </c>
    </row>
    <row r="41" spans="1:2" x14ac:dyDescent="0.3">
      <c r="A41" t="s">
        <v>19</v>
      </c>
      <c r="B41" t="s">
        <v>114</v>
      </c>
    </row>
    <row r="42" spans="1:2" x14ac:dyDescent="0.3">
      <c r="A42" t="s">
        <v>117</v>
      </c>
      <c r="B42" t="s">
        <v>114</v>
      </c>
    </row>
    <row r="43" spans="1:2" x14ac:dyDescent="0.3">
      <c r="A43" t="s">
        <v>3</v>
      </c>
      <c r="B43" t="s">
        <v>54</v>
      </c>
    </row>
    <row r="44" spans="1:2" x14ac:dyDescent="0.3">
      <c r="A44" t="s">
        <v>52</v>
      </c>
      <c r="B44" t="s">
        <v>110</v>
      </c>
    </row>
    <row r="45" spans="1:2" x14ac:dyDescent="0.3">
      <c r="A45" t="s">
        <v>118</v>
      </c>
      <c r="B45" t="s">
        <v>113</v>
      </c>
    </row>
    <row r="46" spans="1:2" x14ac:dyDescent="0.3">
      <c r="A46" t="s">
        <v>119</v>
      </c>
      <c r="B46" t="s">
        <v>73</v>
      </c>
    </row>
    <row r="47" spans="1:2" x14ac:dyDescent="0.3">
      <c r="A47" t="s">
        <v>120</v>
      </c>
      <c r="B47" t="s">
        <v>121</v>
      </c>
    </row>
    <row r="48" spans="1:2" x14ac:dyDescent="0.3">
      <c r="A48" t="s">
        <v>122</v>
      </c>
      <c r="B48" t="s">
        <v>123</v>
      </c>
    </row>
    <row r="49" spans="1:2" x14ac:dyDescent="0.3">
      <c r="A49" t="s">
        <v>124</v>
      </c>
      <c r="B49" t="s">
        <v>125</v>
      </c>
    </row>
    <row r="50" spans="1:2" x14ac:dyDescent="0.3">
      <c r="A50" t="s">
        <v>2</v>
      </c>
      <c r="B50" t="s">
        <v>26</v>
      </c>
    </row>
    <row r="51" spans="1:2" x14ac:dyDescent="0.3">
      <c r="A51" t="s">
        <v>126</v>
      </c>
      <c r="B51" t="s">
        <v>76</v>
      </c>
    </row>
    <row r="52" spans="1:2" x14ac:dyDescent="0.3">
      <c r="A52" t="s">
        <v>127</v>
      </c>
      <c r="B52" t="s">
        <v>128</v>
      </c>
    </row>
    <row r="53" spans="1:2" x14ac:dyDescent="0.3">
      <c r="A53" t="s">
        <v>129</v>
      </c>
      <c r="B53" t="s">
        <v>130</v>
      </c>
    </row>
    <row r="54" spans="1:2" x14ac:dyDescent="0.3">
      <c r="A54" t="s">
        <v>131</v>
      </c>
      <c r="B54" t="s">
        <v>132</v>
      </c>
    </row>
    <row r="55" spans="1:2" x14ac:dyDescent="0.3">
      <c r="A55" t="s">
        <v>133</v>
      </c>
      <c r="B55" t="s">
        <v>134</v>
      </c>
    </row>
    <row r="56" spans="1:2" x14ac:dyDescent="0.3">
      <c r="A56" t="s">
        <v>135</v>
      </c>
      <c r="B56" t="s">
        <v>136</v>
      </c>
    </row>
    <row r="57" spans="1:2" x14ac:dyDescent="0.3">
      <c r="A57" t="s">
        <v>137</v>
      </c>
      <c r="B57" t="s">
        <v>138</v>
      </c>
    </row>
    <row r="58" spans="1:2" x14ac:dyDescent="0.3">
      <c r="A58" t="s">
        <v>139</v>
      </c>
      <c r="B58" t="s">
        <v>106</v>
      </c>
    </row>
    <row r="59" spans="1:2" x14ac:dyDescent="0.3">
      <c r="A59" t="s">
        <v>140</v>
      </c>
      <c r="B59" t="s">
        <v>121</v>
      </c>
    </row>
    <row r="60" spans="1:2" x14ac:dyDescent="0.3">
      <c r="A60" t="s">
        <v>141</v>
      </c>
      <c r="B60" t="s">
        <v>106</v>
      </c>
    </row>
    <row r="61" spans="1:2" x14ac:dyDescent="0.3">
      <c r="A61" t="s">
        <v>142</v>
      </c>
      <c r="B61" t="s">
        <v>143</v>
      </c>
    </row>
    <row r="62" spans="1:2" x14ac:dyDescent="0.3">
      <c r="A62" t="s">
        <v>144</v>
      </c>
      <c r="B62" t="s">
        <v>145</v>
      </c>
    </row>
    <row r="63" spans="1:2" x14ac:dyDescent="0.3">
      <c r="A63" t="s">
        <v>146</v>
      </c>
      <c r="B63" t="s">
        <v>147</v>
      </c>
    </row>
    <row r="64" spans="1:2" x14ac:dyDescent="0.3">
      <c r="A64" t="s">
        <v>148</v>
      </c>
      <c r="B64" t="s">
        <v>149</v>
      </c>
    </row>
    <row r="65" spans="1:2" x14ac:dyDescent="0.3">
      <c r="A65" t="s">
        <v>150</v>
      </c>
      <c r="B65" t="s">
        <v>151</v>
      </c>
    </row>
    <row r="66" spans="1:2" x14ac:dyDescent="0.3">
      <c r="A66" t="s">
        <v>152</v>
      </c>
      <c r="B66" t="s">
        <v>113</v>
      </c>
    </row>
    <row r="67" spans="1:2" x14ac:dyDescent="0.3">
      <c r="A67" t="s">
        <v>153</v>
      </c>
      <c r="B67" t="s">
        <v>128</v>
      </c>
    </row>
    <row r="68" spans="1:2" x14ac:dyDescent="0.3">
      <c r="A68" t="s">
        <v>154</v>
      </c>
      <c r="B68" t="s">
        <v>128</v>
      </c>
    </row>
    <row r="69" spans="1:2" x14ac:dyDescent="0.3">
      <c r="A69" t="s">
        <v>155</v>
      </c>
      <c r="B69" t="s">
        <v>128</v>
      </c>
    </row>
    <row r="70" spans="1:2" x14ac:dyDescent="0.3">
      <c r="A70" t="s">
        <v>156</v>
      </c>
      <c r="B70" t="s">
        <v>113</v>
      </c>
    </row>
    <row r="71" spans="1:2" x14ac:dyDescent="0.3">
      <c r="A71" t="s">
        <v>157</v>
      </c>
      <c r="B71" t="s">
        <v>128</v>
      </c>
    </row>
    <row r="72" spans="1:2" x14ac:dyDescent="0.3">
      <c r="A72" t="s">
        <v>158</v>
      </c>
      <c r="B72" t="s">
        <v>106</v>
      </c>
    </row>
    <row r="73" spans="1:2" x14ac:dyDescent="0.3">
      <c r="A73" t="s">
        <v>159</v>
      </c>
      <c r="B73" t="s">
        <v>160</v>
      </c>
    </row>
    <row r="74" spans="1:2" x14ac:dyDescent="0.3">
      <c r="A74" t="s">
        <v>161</v>
      </c>
      <c r="B74" t="s">
        <v>162</v>
      </c>
    </row>
    <row r="75" spans="1:2" x14ac:dyDescent="0.3">
      <c r="A75" t="s">
        <v>163</v>
      </c>
      <c r="B75" t="s">
        <v>125</v>
      </c>
    </row>
    <row r="76" spans="1:2" x14ac:dyDescent="0.3">
      <c r="A76" t="s">
        <v>164</v>
      </c>
      <c r="B76" t="s">
        <v>78</v>
      </c>
    </row>
    <row r="77" spans="1:2" x14ac:dyDescent="0.3">
      <c r="A77" t="s">
        <v>165</v>
      </c>
      <c r="B77" t="s">
        <v>113</v>
      </c>
    </row>
    <row r="78" spans="1:2" x14ac:dyDescent="0.3">
      <c r="A78" t="s">
        <v>166</v>
      </c>
      <c r="B78" t="s">
        <v>113</v>
      </c>
    </row>
    <row r="79" spans="1:2" x14ac:dyDescent="0.3">
      <c r="A79" t="s">
        <v>167</v>
      </c>
      <c r="B79" t="s">
        <v>61</v>
      </c>
    </row>
    <row r="80" spans="1:2" x14ac:dyDescent="0.3">
      <c r="A80" t="s">
        <v>168</v>
      </c>
      <c r="B80" t="s">
        <v>169</v>
      </c>
    </row>
    <row r="81" spans="1:2" x14ac:dyDescent="0.3">
      <c r="A81" t="s">
        <v>170</v>
      </c>
      <c r="B81" t="s">
        <v>171</v>
      </c>
    </row>
    <row r="82" spans="1:2" x14ac:dyDescent="0.3">
      <c r="A82" t="s">
        <v>172</v>
      </c>
      <c r="B82" t="s">
        <v>173</v>
      </c>
    </row>
    <row r="83" spans="1:2" x14ac:dyDescent="0.3">
      <c r="A83" t="s">
        <v>174</v>
      </c>
      <c r="B83" t="s">
        <v>175</v>
      </c>
    </row>
    <row r="84" spans="1:2" x14ac:dyDescent="0.3">
      <c r="A84" t="s">
        <v>176</v>
      </c>
      <c r="B84" t="s">
        <v>162</v>
      </c>
    </row>
    <row r="85" spans="1:2" x14ac:dyDescent="0.3">
      <c r="A85" t="s">
        <v>177</v>
      </c>
      <c r="B85" t="s">
        <v>178</v>
      </c>
    </row>
    <row r="86" spans="1:2" x14ac:dyDescent="0.3">
      <c r="A86" t="s">
        <v>179</v>
      </c>
      <c r="B86" t="s">
        <v>113</v>
      </c>
    </row>
    <row r="87" spans="1:2" x14ac:dyDescent="0.3">
      <c r="A87" t="s">
        <v>180</v>
      </c>
      <c r="B87" t="s">
        <v>181</v>
      </c>
    </row>
    <row r="88" spans="1:2" x14ac:dyDescent="0.3">
      <c r="A88" t="s">
        <v>182</v>
      </c>
      <c r="B88" t="s">
        <v>183</v>
      </c>
    </row>
    <row r="89" spans="1:2" x14ac:dyDescent="0.3">
      <c r="A89" t="s">
        <v>184</v>
      </c>
      <c r="B89" t="s">
        <v>121</v>
      </c>
    </row>
    <row r="90" spans="1:2" x14ac:dyDescent="0.3">
      <c r="A90" t="s">
        <v>185</v>
      </c>
      <c r="B90" t="s">
        <v>113</v>
      </c>
    </row>
    <row r="91" spans="1:2" x14ac:dyDescent="0.3">
      <c r="A91" t="s">
        <v>186</v>
      </c>
      <c r="B91" t="s">
        <v>181</v>
      </c>
    </row>
    <row r="92" spans="1:2" x14ac:dyDescent="0.3">
      <c r="A92" t="s">
        <v>187</v>
      </c>
      <c r="B92" t="s">
        <v>181</v>
      </c>
    </row>
    <row r="93" spans="1:2" x14ac:dyDescent="0.3">
      <c r="A93" t="s">
        <v>188</v>
      </c>
      <c r="B93" t="s">
        <v>181</v>
      </c>
    </row>
    <row r="94" spans="1:2" x14ac:dyDescent="0.3">
      <c r="A94" t="s">
        <v>189</v>
      </c>
      <c r="B94" t="s">
        <v>190</v>
      </c>
    </row>
    <row r="95" spans="1:2" x14ac:dyDescent="0.3">
      <c r="A95" t="s">
        <v>191</v>
      </c>
      <c r="B95" t="s">
        <v>113</v>
      </c>
    </row>
    <row r="96" spans="1:2" x14ac:dyDescent="0.3">
      <c r="A96" t="s">
        <v>192</v>
      </c>
      <c r="B96" t="s">
        <v>193</v>
      </c>
    </row>
    <row r="97" spans="1:2" x14ac:dyDescent="0.3">
      <c r="A97" t="s">
        <v>194</v>
      </c>
      <c r="B97" t="s">
        <v>195</v>
      </c>
    </row>
    <row r="98" spans="1:2" x14ac:dyDescent="0.3">
      <c r="A98" t="s">
        <v>196</v>
      </c>
      <c r="B98" t="s">
        <v>197</v>
      </c>
    </row>
    <row r="99" spans="1:2" x14ac:dyDescent="0.3">
      <c r="A99" t="s">
        <v>198</v>
      </c>
      <c r="B99" t="s">
        <v>199</v>
      </c>
    </row>
    <row r="100" spans="1:2" x14ac:dyDescent="0.3">
      <c r="A100" t="s">
        <v>200</v>
      </c>
      <c r="B100" t="s">
        <v>201</v>
      </c>
    </row>
    <row r="101" spans="1:2" x14ac:dyDescent="0.3">
      <c r="A101" t="s">
        <v>202</v>
      </c>
      <c r="B101" t="s">
        <v>203</v>
      </c>
    </row>
    <row r="102" spans="1:2" x14ac:dyDescent="0.3">
      <c r="A102" t="s">
        <v>204</v>
      </c>
      <c r="B102" t="s">
        <v>205</v>
      </c>
    </row>
    <row r="103" spans="1:2" x14ac:dyDescent="0.3">
      <c r="A103" t="s">
        <v>206</v>
      </c>
      <c r="B103" t="s">
        <v>207</v>
      </c>
    </row>
    <row r="104" spans="1:2" x14ac:dyDescent="0.3">
      <c r="A104" t="s">
        <v>208</v>
      </c>
      <c r="B104" t="s">
        <v>209</v>
      </c>
    </row>
    <row r="105" spans="1:2" x14ac:dyDescent="0.3">
      <c r="A105" t="s">
        <v>210</v>
      </c>
      <c r="B105" t="s">
        <v>211</v>
      </c>
    </row>
    <row r="106" spans="1:2" x14ac:dyDescent="0.3">
      <c r="A106" t="s">
        <v>212</v>
      </c>
      <c r="B106" t="s">
        <v>213</v>
      </c>
    </row>
    <row r="107" spans="1:2" x14ac:dyDescent="0.3">
      <c r="A107" t="s">
        <v>214</v>
      </c>
      <c r="B107" t="s">
        <v>215</v>
      </c>
    </row>
    <row r="108" spans="1:2" x14ac:dyDescent="0.3">
      <c r="A108" t="s">
        <v>216</v>
      </c>
      <c r="B108" t="s">
        <v>217</v>
      </c>
    </row>
    <row r="109" spans="1:2" x14ac:dyDescent="0.3">
      <c r="A109" t="s">
        <v>218</v>
      </c>
      <c r="B109" t="s">
        <v>219</v>
      </c>
    </row>
    <row r="110" spans="1:2" x14ac:dyDescent="0.3">
      <c r="A110" t="s">
        <v>220</v>
      </c>
      <c r="B110" t="s">
        <v>183</v>
      </c>
    </row>
    <row r="111" spans="1:2" x14ac:dyDescent="0.3">
      <c r="A111" t="s">
        <v>221</v>
      </c>
      <c r="B111" t="s">
        <v>183</v>
      </c>
    </row>
    <row r="112" spans="1:2" x14ac:dyDescent="0.3">
      <c r="A112" t="s">
        <v>222</v>
      </c>
      <c r="B112" t="s">
        <v>183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224</v>
      </c>
    </row>
    <row r="115" spans="1:2" x14ac:dyDescent="0.3">
      <c r="A115" t="s">
        <v>226</v>
      </c>
      <c r="B115" t="s">
        <v>224</v>
      </c>
    </row>
    <row r="116" spans="1:2" x14ac:dyDescent="0.3">
      <c r="A116" t="s">
        <v>227</v>
      </c>
      <c r="B116" t="s">
        <v>228</v>
      </c>
    </row>
    <row r="117" spans="1:2" x14ac:dyDescent="0.3">
      <c r="A117" t="s">
        <v>229</v>
      </c>
      <c r="B117" t="s">
        <v>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history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신덕환</cp:lastModifiedBy>
  <dcterms:created xsi:type="dcterms:W3CDTF">2026-08-01T11:34:30Z</dcterms:created>
  <dcterms:modified xsi:type="dcterms:W3CDTF">2026-08-01T12:21:22Z</dcterms:modified>
</cp:coreProperties>
</file>